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arch" sheetId="2" state="visible" r:id="rId4"/>
    <sheet name="Low Stock" sheetId="3" state="visible" r:id="rId5"/>
    <sheet name="Issue Log" sheetId="4" state="visible" r:id="rId6"/>
    <sheet name="Locations" sheetId="5" state="visible" r:id="rId7"/>
    <sheet name="Thresholds" sheetId="6" state="visible" r:id="rId8"/>
    <sheet name="Inventory" sheetId="7" state="visible" r:id="rId9"/>
    <sheet name="Notes" sheetId="8" state="visible" r:id="rId10"/>
  </sheets>
  <definedNames>
    <definedName function="false" hidden="true" localSheetId="6" name="_xlnm._FilterDatabase" vbProcedure="false">Inventory!$A$1:$K$381</definedName>
    <definedName function="false" hidden="true" localSheetId="3" name="_xlnm._FilterDatabase" vbProcedure="false">'Issue Log'!$A$1:$J$501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Type the ID from the Inventory sheet (for example EC013). The component name and its bin fill in automatically.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Blue figures are the numbers you edit. Leave blank for a component that has never been counted.</t>
        </r>
      </text>
    </comment>
  </commentList>
</comments>
</file>

<file path=xl/sharedStrings.xml><?xml version="1.0" encoding="utf-8"?>
<sst xmlns="http://schemas.openxmlformats.org/spreadsheetml/2006/main" count="2272" uniqueCount="944">
  <si>
    <t xml:space="preserve">EC LAB — INVENTORY MANAGEMENT SYSTEM</t>
  </si>
  <si>
    <t xml:space="preserve">Live stock, bin locations and issue records for the EC Lab component racks.</t>
  </si>
  <si>
    <t xml:space="preserve">COMPONENTS</t>
  </si>
  <si>
    <t xml:space="preserve">UNITS ON SHELF</t>
  </si>
  <si>
    <t xml:space="preserve">LOW STOCK</t>
  </si>
  <si>
    <t xml:space="preserve">OUT OF STOCK</t>
  </si>
  <si>
    <t xml:space="preserve">ISSUED OUT</t>
  </si>
  <si>
    <t xml:space="preserve">NOT COUNTED</t>
  </si>
  <si>
    <t xml:space="preserve">distinct line items</t>
  </si>
  <si>
    <t xml:space="preserve">available pieces</t>
  </si>
  <si>
    <t xml:space="preserve">below minimum</t>
  </si>
  <si>
    <t xml:space="preserve">zero available</t>
  </si>
  <si>
    <t xml:space="preserve">pieces with students</t>
  </si>
  <si>
    <t xml:space="preserve">need a stock take</t>
  </si>
  <si>
    <t xml:space="preserve">STOCK BY CATEGORY</t>
  </si>
  <si>
    <t xml:space="preserve">HOW TO USE THIS WORKBOOK</t>
  </si>
  <si>
    <t xml:space="preserve">Category</t>
  </si>
  <si>
    <t xml:space="preserve">Items</t>
  </si>
  <si>
    <t xml:space="preserve">Low / Out</t>
  </si>
  <si>
    <t xml:space="preserve">Available units</t>
  </si>
  <si>
    <t xml:space="preserve">Search</t>
  </si>
  <si>
    <t xml:space="preserve">Type a component name in the yellow cell — it returns the exact bin (e.g. 1K Ω Resistor → A2).</t>
  </si>
  <si>
    <t xml:space="preserve">Antenna</t>
  </si>
  <si>
    <t xml:space="preserve">Inventory</t>
  </si>
  <si>
    <t xml:space="preserve">The master list. Edit only the blue columns: Stock Qty and Min. Rows colour themselves by status.</t>
  </si>
  <si>
    <t xml:space="preserve">Battery</t>
  </si>
  <si>
    <t xml:space="preserve">Low Stock</t>
  </si>
  <si>
    <t xml:space="preserve">Auto-built restocking list — everything out, below minimum, or never counted.</t>
  </si>
  <si>
    <t xml:space="preserve">Buzzer</t>
  </si>
  <si>
    <t xml:space="preserve">Issue Log</t>
  </si>
  <si>
    <t xml:space="preserve">Record who took what. Available stock on Inventory drops automatically until you fill the return date.</t>
  </si>
  <si>
    <t xml:space="preserve">Cable</t>
  </si>
  <si>
    <t xml:space="preserve">Locations</t>
  </si>
  <si>
    <t xml:space="preserve">Item count and low-stock count for every bin, drawer and box.</t>
  </si>
  <si>
    <t xml:space="preserve">Camera</t>
  </si>
  <si>
    <t xml:space="preserve">Thresholds</t>
  </si>
  <si>
    <t xml:space="preserve">The minimum level suggested for each category. Change a single item's Min on the Inventory sheet.</t>
  </si>
  <si>
    <t xml:space="preserve">Capacitor</t>
  </si>
  <si>
    <t xml:space="preserve">Chassis</t>
  </si>
  <si>
    <t xml:space="preserve">Blue figures are yours to edit. Black figures are formulas — changing them breaks the totals.</t>
  </si>
  <si>
    <t xml:space="preserve">Connector</t>
  </si>
  <si>
    <t xml:space="preserve">Converter</t>
  </si>
  <si>
    <t xml:space="preserve">Diode</t>
  </si>
  <si>
    <t xml:space="preserve">Display</t>
  </si>
  <si>
    <t xml:space="preserve">Driver</t>
  </si>
  <si>
    <t xml:space="preserve">Fan</t>
  </si>
  <si>
    <t xml:space="preserve">Filter</t>
  </si>
  <si>
    <t xml:space="preserve">Fuse</t>
  </si>
  <si>
    <t xml:space="preserve">Hardware</t>
  </si>
  <si>
    <t xml:space="preserve">Heat Sink</t>
  </si>
  <si>
    <t xml:space="preserve">IC</t>
  </si>
  <si>
    <t xml:space="preserve">IC Base</t>
  </si>
  <si>
    <t xml:space="preserve">Inductor</t>
  </si>
  <si>
    <t xml:space="preserve">Jumper Wire</t>
  </si>
  <si>
    <t xml:space="preserve">LED</t>
  </si>
  <si>
    <t xml:space="preserve">Lamp</t>
  </si>
  <si>
    <t xml:space="preserve">MCU / Dev Board</t>
  </si>
  <si>
    <t xml:space="preserve">Memory</t>
  </si>
  <si>
    <t xml:space="preserve">Microphone</t>
  </si>
  <si>
    <t xml:space="preserve">Misc</t>
  </si>
  <si>
    <t xml:space="preserve">Module</t>
  </si>
  <si>
    <t xml:space="preserve">Motor</t>
  </si>
  <si>
    <t xml:space="preserve">Oscillator</t>
  </si>
  <si>
    <t xml:space="preserve">PCB</t>
  </si>
  <si>
    <t xml:space="preserve">Potentiometer</t>
  </si>
  <si>
    <t xml:space="preserve">Power</t>
  </si>
  <si>
    <t xml:space="preserve">RFID</t>
  </si>
  <si>
    <t xml:space="preserve">Relay</t>
  </si>
  <si>
    <t xml:space="preserve">Resistor</t>
  </si>
  <si>
    <t xml:space="preserve">Sensor</t>
  </si>
  <si>
    <t xml:space="preserve">Soldering</t>
  </si>
  <si>
    <t xml:space="preserve">Speaker</t>
  </si>
  <si>
    <t xml:space="preserve">Switch</t>
  </si>
  <si>
    <t xml:space="preserve">Tool</t>
  </si>
  <si>
    <t xml:space="preserve">Transistor</t>
  </si>
  <si>
    <t xml:space="preserve">Wire</t>
  </si>
  <si>
    <t xml:space="preserve">COMPONENT SEARCH</t>
  </si>
  <si>
    <t xml:space="preserve">Search for:</t>
  </si>
  <si>
    <t xml:space="preserve">resistor</t>
  </si>
  <si>
    <t xml:space="preserve">part of a name, a category, or a bin code such as D5</t>
  </si>
  <si>
    <t xml:space="preserve">MATCHES</t>
  </si>
  <si>
    <t xml:space="preserve">#</t>
  </si>
  <si>
    <t xml:space="preserve">Component</t>
  </si>
  <si>
    <t xml:space="preserve">LOCATION</t>
  </si>
  <si>
    <t xml:space="preserve">Available</t>
  </si>
  <si>
    <t xml:space="preserve">Status</t>
  </si>
  <si>
    <t xml:space="preserve">RESTOCKING LIST</t>
  </si>
  <si>
    <t xml:space="preserve">Everything out of stock, below its minimum, or never counted. Rebuilds itself from the Inventory sheet.</t>
  </si>
  <si>
    <t xml:space="preserve">Location</t>
  </si>
  <si>
    <t xml:space="preserve">Min</t>
  </si>
  <si>
    <t xml:space="preserve">Short by</t>
  </si>
  <si>
    <t xml:space="preserve">Date issued</t>
  </si>
  <si>
    <t xml:space="preserve">Component ID</t>
  </si>
  <si>
    <t xml:space="preserve">Issued to</t>
  </si>
  <si>
    <t xml:space="preserve">Purpose</t>
  </si>
  <si>
    <t xml:space="preserve">Qty issued</t>
  </si>
  <si>
    <t xml:space="preserve">Date returned</t>
  </si>
  <si>
    <t xml:space="preserve">Qty returned</t>
  </si>
  <si>
    <t xml:space="preserve">2026-09-08</t>
  </si>
  <si>
    <t xml:space="preserve">EC013</t>
  </si>
  <si>
    <t xml:space="preserve">EXAMPLE — Ananya S.</t>
  </si>
  <si>
    <t xml:space="preserve">Mini project (delete this row)</t>
  </si>
  <si>
    <t xml:space="preserve">2026-09-09</t>
  </si>
  <si>
    <t xml:space="preserve">RACK &amp; BIN MAP</t>
  </si>
  <si>
    <t xml:space="preserve">Every storage position in the lab and what it holds.</t>
  </si>
  <si>
    <t xml:space="preserve">Main category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</si>
  <si>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</si>
  <si>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</si>
  <si>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</si>
  <si>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</si>
  <si>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</si>
  <si>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</si>
  <si>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</si>
  <si>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</si>
  <si>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</si>
  <si>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ADAPTER BOX</t>
  </si>
  <si>
    <t xml:space="preserve">ARDUINO CABLE BOX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</si>
  <si>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</si>
  <si>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</si>
  <si>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</si>
  <si>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</si>
  <si>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</si>
  <si>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</si>
  <si>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</si>
  <si>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</si>
  <si>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</si>
  <si>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BATTERY BOX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</si>
  <si>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</si>
  <si>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</si>
  <si>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</si>
  <si>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</si>
  <si>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</si>
  <si>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</si>
  <si>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</si>
  <si>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</si>
  <si>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CUPBOARD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</si>
  <si>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</si>
  <si>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</si>
  <si>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</si>
  <si>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</si>
  <si>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</si>
  <si>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</si>
  <si>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</si>
  <si>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DISPLAY BOX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</si>
  <si>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</si>
  <si>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</si>
  <si>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</si>
  <si>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</si>
  <si>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</si>
  <si>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</si>
  <si>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</si>
  <si>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</si>
  <si>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</si>
  <si>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</si>
  <si>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</si>
  <si>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</si>
  <si>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H DRAWER</t>
  </si>
  <si>
    <t xml:space="preserve">H1</t>
  </si>
  <si>
    <t xml:space="preserve">H2</t>
  </si>
  <si>
    <t xml:space="preserve">H3</t>
  </si>
  <si>
    <t xml:space="preserve">H4</t>
  </si>
  <si>
    <t xml:space="preserve">MIXED RESISTOR BOX</t>
  </si>
  <si>
    <t xml:space="preserve">SMD BOX</t>
  </si>
  <si>
    <t xml:space="preserve">UNASSIGNED</t>
  </si>
  <si>
    <t xml:space="preserve">LOW-STOCK MINIMUMS BY CATEGORY</t>
  </si>
  <si>
    <t xml:space="preserve">Reference values used when the register was imported. To change how one component behaves, edit its Min on the Inventory sheet — that is what the Status formula reads.</t>
  </si>
  <si>
    <t xml:space="preserve">Suggested minimum</t>
  </si>
  <si>
    <t xml:space="preserve">Items in this category</t>
  </si>
  <si>
    <t xml:space="preserve">ID</t>
  </si>
  <si>
    <t xml:space="preserve">SMD</t>
  </si>
  <si>
    <t xml:space="preserve">Stock Qty</t>
  </si>
  <si>
    <t xml:space="preserve">Issued Out</t>
  </si>
  <si>
    <t xml:space="preserve">Last Updated</t>
  </si>
  <si>
    <t xml:space="preserve">EC001</t>
  </si>
  <si>
    <t xml:space="preserve">330 Ω Resistor+</t>
  </si>
  <si>
    <t xml:space="preserve">Imported 09-Sep-2026</t>
  </si>
  <si>
    <t xml:space="preserve">EC002</t>
  </si>
  <si>
    <t xml:space="preserve">70 Ω Resistor+</t>
  </si>
  <si>
    <t xml:space="preserve">EC003</t>
  </si>
  <si>
    <t xml:space="preserve">68 Ω Resistor+</t>
  </si>
  <si>
    <t xml:space="preserve">EC004</t>
  </si>
  <si>
    <t xml:space="preserve">100 Ω Resistor+</t>
  </si>
  <si>
    <t xml:space="preserve">EC005</t>
  </si>
  <si>
    <t xml:space="preserve">5.2 Ω Resistor+</t>
  </si>
  <si>
    <t xml:space="preserve">EC006</t>
  </si>
  <si>
    <t xml:space="preserve">150K Ω Resistor+</t>
  </si>
  <si>
    <t xml:space="preserve">EC007</t>
  </si>
  <si>
    <t xml:space="preserve">15K Ω Resistor+</t>
  </si>
  <si>
    <t xml:space="preserve">EC008</t>
  </si>
  <si>
    <t xml:space="preserve">220 Ω Resistor+</t>
  </si>
  <si>
    <t xml:space="preserve">EC009</t>
  </si>
  <si>
    <t xml:space="preserve">10K Ω Resistor+</t>
  </si>
  <si>
    <t xml:space="preserve">EC010</t>
  </si>
  <si>
    <t xml:space="preserve">330K Ω Resistor+</t>
  </si>
  <si>
    <t xml:space="preserve">EC011</t>
  </si>
  <si>
    <t xml:space="preserve">470 Ω Resistor+</t>
  </si>
  <si>
    <t xml:space="preserve">EC012</t>
  </si>
  <si>
    <t xml:space="preserve">4.7K Ω Resistor+</t>
  </si>
  <si>
    <t xml:space="preserve">1K Ω Resistor+</t>
  </si>
  <si>
    <t xml:space="preserve">EC014</t>
  </si>
  <si>
    <t xml:space="preserve">470 Ω Preset Potentiometer</t>
  </si>
  <si>
    <t xml:space="preserve">EC015</t>
  </si>
  <si>
    <t xml:space="preserve">4.7K Ω Preset Potentiometer</t>
  </si>
  <si>
    <t xml:space="preserve">EC016</t>
  </si>
  <si>
    <t xml:space="preserve">1M Ω Preset Potentiometer</t>
  </si>
  <si>
    <t xml:space="preserve">EC017</t>
  </si>
  <si>
    <t xml:space="preserve">10K Ω Preset Potentiometer</t>
  </si>
  <si>
    <t xml:space="preserve">EC018</t>
  </si>
  <si>
    <t xml:space="preserve">100 Ω Preset Potentiometer</t>
  </si>
  <si>
    <t xml:space="preserve">EC019</t>
  </si>
  <si>
    <t xml:space="preserve">1K Ω Preset Potentiometer+</t>
  </si>
  <si>
    <t xml:space="preserve">EC020</t>
  </si>
  <si>
    <t xml:space="preserve">200 Ω Preset Potentiometer</t>
  </si>
  <si>
    <t xml:space="preserve">EC021</t>
  </si>
  <si>
    <t xml:space="preserve">LDR</t>
  </si>
  <si>
    <t xml:space="preserve">EC022</t>
  </si>
  <si>
    <t xml:space="preserve">QRD1114</t>
  </si>
  <si>
    <t xml:space="preserve">EC023</t>
  </si>
  <si>
    <t xml:space="preserve">Adafruit PDM MEMS</t>
  </si>
  <si>
    <t xml:space="preserve">EC024</t>
  </si>
  <si>
    <t xml:space="preserve">Microphone and Microphone Module</t>
  </si>
  <si>
    <t xml:space="preserve">EC025</t>
  </si>
  <si>
    <t xml:space="preserve">Speacker Speacker Module</t>
  </si>
  <si>
    <t xml:space="preserve">EC026</t>
  </si>
  <si>
    <t xml:space="preserve">1uf 63V capacitor</t>
  </si>
  <si>
    <t xml:space="preserve">EC027</t>
  </si>
  <si>
    <t xml:space="preserve">104 Non Polarised Capacitor</t>
  </si>
  <si>
    <t xml:space="preserve">EC028</t>
  </si>
  <si>
    <t xml:space="preserve">150 Non Polarised Capacitor</t>
  </si>
  <si>
    <t xml:space="preserve">EC029</t>
  </si>
  <si>
    <t xml:space="preserve">103 Non Polarised Capacitor</t>
  </si>
  <si>
    <t xml:space="preserve">EC030</t>
  </si>
  <si>
    <t xml:space="preserve">33 Non Polarised Capacitor</t>
  </si>
  <si>
    <t xml:space="preserve">EC031</t>
  </si>
  <si>
    <t xml:space="preserve">0.1uf 50v Capacitor</t>
  </si>
  <si>
    <t xml:space="preserve">EC032</t>
  </si>
  <si>
    <t xml:space="preserve">203 Non Polarised Capacitor</t>
  </si>
  <si>
    <t xml:space="preserve">EC033</t>
  </si>
  <si>
    <t xml:space="preserve">102 Non Polarised Capacitor</t>
  </si>
  <si>
    <t xml:space="preserve">EC034</t>
  </si>
  <si>
    <t xml:space="preserve">2.7 Non polarised Capacitor</t>
  </si>
  <si>
    <t xml:space="preserve">EC035</t>
  </si>
  <si>
    <t xml:space="preserve">47 Non polarised Capacitor</t>
  </si>
  <si>
    <t xml:space="preserve">EC036</t>
  </si>
  <si>
    <t xml:space="preserve">56 Non Polarised Capacitor</t>
  </si>
  <si>
    <t xml:space="preserve">EC037</t>
  </si>
  <si>
    <t xml:space="preserve">1K 63 Voltage Filter</t>
  </si>
  <si>
    <t xml:space="preserve">EC038</t>
  </si>
  <si>
    <t xml:space="preserve">22J Fuse</t>
  </si>
  <si>
    <t xml:space="preserve">EC039</t>
  </si>
  <si>
    <t xml:space="preserve">22 Non Polarised Capacitor</t>
  </si>
  <si>
    <t xml:space="preserve">EC040</t>
  </si>
  <si>
    <t xml:space="preserve">20 Non Polarised Capacitor</t>
  </si>
  <si>
    <t xml:space="preserve">EC041</t>
  </si>
  <si>
    <t xml:space="preserve">1uf 450v Capacitor</t>
  </si>
  <si>
    <t xml:space="preserve">EC042</t>
  </si>
  <si>
    <t xml:space="preserve">1000uf 16v Capacitor</t>
  </si>
  <si>
    <t xml:space="preserve">EC043</t>
  </si>
  <si>
    <t xml:space="preserve">22uf 63v Capacitor</t>
  </si>
  <si>
    <t xml:space="preserve">EC044</t>
  </si>
  <si>
    <t xml:space="preserve">10uf 63v Capacitor</t>
  </si>
  <si>
    <t xml:space="preserve">EC045</t>
  </si>
  <si>
    <t xml:space="preserve">100uf 25v Capacitor</t>
  </si>
  <si>
    <t xml:space="preserve">EC046</t>
  </si>
  <si>
    <t xml:space="preserve">10uf 25v Capacitor</t>
  </si>
  <si>
    <t xml:space="preserve">EC047</t>
  </si>
  <si>
    <t xml:space="preserve">2.2uf 63v Capacitor</t>
  </si>
  <si>
    <t xml:space="preserve">EC048</t>
  </si>
  <si>
    <t xml:space="preserve">10uf 50v Capacitor</t>
  </si>
  <si>
    <t xml:space="preserve">EC049</t>
  </si>
  <si>
    <t xml:space="preserve">473J1000 Filter</t>
  </si>
  <si>
    <t xml:space="preserve">EC050</t>
  </si>
  <si>
    <t xml:space="preserve">200K Ω Resistor+</t>
  </si>
  <si>
    <t xml:space="preserve">EC051</t>
  </si>
  <si>
    <t xml:space="preserve">23K Ω Resistor+</t>
  </si>
  <si>
    <t xml:space="preserve">EC052</t>
  </si>
  <si>
    <t xml:space="preserve">2.2M Ω Resistor+</t>
  </si>
  <si>
    <t xml:space="preserve">EC053</t>
  </si>
  <si>
    <t xml:space="preserve">25 Ω Resistor+</t>
  </si>
  <si>
    <t xml:space="preserve">EC054</t>
  </si>
  <si>
    <t xml:space="preserve">15 Ω Resistor+</t>
  </si>
  <si>
    <t xml:space="preserve">EC055</t>
  </si>
  <si>
    <t xml:space="preserve">Thermistor</t>
  </si>
  <si>
    <t xml:space="preserve">EC056</t>
  </si>
  <si>
    <t xml:space="preserve">AA battery</t>
  </si>
  <si>
    <t xml:space="preserve">EC057</t>
  </si>
  <si>
    <t xml:space="preserve">Coin Cell Holder</t>
  </si>
  <si>
    <t xml:space="preserve">EC058</t>
  </si>
  <si>
    <t xml:space="preserve">AAA Battery</t>
  </si>
  <si>
    <t xml:space="preserve">EC059</t>
  </si>
  <si>
    <t xml:space="preserve">6 pin IC base</t>
  </si>
  <si>
    <t xml:space="preserve">EC060</t>
  </si>
  <si>
    <t xml:space="preserve">2W 105 Non Polarised Capacitor</t>
  </si>
  <si>
    <t xml:space="preserve">EC061</t>
  </si>
  <si>
    <t xml:space="preserve">Plastic Film Capacitor</t>
  </si>
  <si>
    <t xml:space="preserve">EC062</t>
  </si>
  <si>
    <t xml:space="preserve">XBEE Module</t>
  </si>
  <si>
    <t xml:space="preserve">EC063</t>
  </si>
  <si>
    <t xml:space="preserve">LM35</t>
  </si>
  <si>
    <t xml:space="preserve">EC064</t>
  </si>
  <si>
    <t xml:space="preserve">MQ-5</t>
  </si>
  <si>
    <t xml:space="preserve">EC065</t>
  </si>
  <si>
    <t xml:space="preserve">MQ-7</t>
  </si>
  <si>
    <t xml:space="preserve">EC066</t>
  </si>
  <si>
    <t xml:space="preserve">MQ-2</t>
  </si>
  <si>
    <t xml:space="preserve">EC067</t>
  </si>
  <si>
    <t xml:space="preserve">Photoelectric Switch</t>
  </si>
  <si>
    <t xml:space="preserve">EC068</t>
  </si>
  <si>
    <t xml:space="preserve">TCST 1103 Transmissive Optical Sensor</t>
  </si>
  <si>
    <t xml:space="preserve">EC069</t>
  </si>
  <si>
    <t xml:space="preserve">MQ-6</t>
  </si>
  <si>
    <t xml:space="preserve">EC070</t>
  </si>
  <si>
    <t xml:space="preserve">DTMF board</t>
  </si>
  <si>
    <t xml:space="preserve">EC071</t>
  </si>
  <si>
    <t xml:space="preserve">SPST Rocker Switch</t>
  </si>
  <si>
    <t xml:space="preserve">EC072</t>
  </si>
  <si>
    <t xml:space="preserve">Vibration Motor</t>
  </si>
  <si>
    <t xml:space="preserve">EC073</t>
  </si>
  <si>
    <t xml:space="preserve">Big Push Button Switch</t>
  </si>
  <si>
    <t xml:space="preserve">EC074</t>
  </si>
  <si>
    <t xml:space="preserve">6- Pin Self Lock Switch</t>
  </si>
  <si>
    <t xml:space="preserve">EC075</t>
  </si>
  <si>
    <t xml:space="preserve">433 RF Transmitter Module</t>
  </si>
  <si>
    <t xml:space="preserve">EC076</t>
  </si>
  <si>
    <t xml:space="preserve">433 Reciever Module</t>
  </si>
  <si>
    <t xml:space="preserve">EC077</t>
  </si>
  <si>
    <t xml:space="preserve">15 MHz Oscillator</t>
  </si>
  <si>
    <t xml:space="preserve">EC078</t>
  </si>
  <si>
    <t xml:space="preserve">12 MHz Oscillator</t>
  </si>
  <si>
    <t xml:space="preserve">EC079</t>
  </si>
  <si>
    <t xml:space="preserve">8 MHz Oscillator</t>
  </si>
  <si>
    <t xml:space="preserve">EC080</t>
  </si>
  <si>
    <t xml:space="preserve">3.579 MHz Oscillator</t>
  </si>
  <si>
    <t xml:space="preserve">EC081</t>
  </si>
  <si>
    <t xml:space="preserve">11.592 MHz Oscillator</t>
  </si>
  <si>
    <t xml:space="preserve">EC082</t>
  </si>
  <si>
    <t xml:space="preserve">16MHz Oscillator</t>
  </si>
  <si>
    <t xml:space="preserve">EC083</t>
  </si>
  <si>
    <t xml:space="preserve">203Trimmer Potentiometer</t>
  </si>
  <si>
    <t xml:space="preserve">EC084</t>
  </si>
  <si>
    <t xml:space="preserve">103 Trimmer Potentiometer Horizontal</t>
  </si>
  <si>
    <t xml:space="preserve">EC085</t>
  </si>
  <si>
    <t xml:space="preserve">103 Trimmer Potentiometer verticle</t>
  </si>
  <si>
    <t xml:space="preserve">EC086</t>
  </si>
  <si>
    <t xml:space="preserve">SK 100 B Silicon Transistor</t>
  </si>
  <si>
    <t xml:space="preserve">EC087</t>
  </si>
  <si>
    <t xml:space="preserve">RGB Common Anode</t>
  </si>
  <si>
    <t xml:space="preserve">EC088</t>
  </si>
  <si>
    <t xml:space="preserve">photo diode Transmitter</t>
  </si>
  <si>
    <t xml:space="preserve">EC089</t>
  </si>
  <si>
    <t xml:space="preserve">Photo Diode Reciever</t>
  </si>
  <si>
    <t xml:space="preserve">EC090</t>
  </si>
  <si>
    <t xml:space="preserve">7 Segment Small</t>
  </si>
  <si>
    <t xml:space="preserve">EC091</t>
  </si>
  <si>
    <t xml:space="preserve">7 Segment BIG (CA)</t>
  </si>
  <si>
    <t xml:space="preserve">EC092</t>
  </si>
  <si>
    <t xml:space="preserve">I2C OLED</t>
  </si>
  <si>
    <t xml:space="preserve">EC093</t>
  </si>
  <si>
    <t xml:space="preserve">3 MM blue LED</t>
  </si>
  <si>
    <t xml:space="preserve">EC094</t>
  </si>
  <si>
    <t xml:space="preserve">2 Pin Screw Block Connector</t>
  </si>
  <si>
    <t xml:space="preserve">EC095</t>
  </si>
  <si>
    <t xml:space="preserve">3 Pin Screw Block Connector</t>
  </si>
  <si>
    <t xml:space="preserve">EC096</t>
  </si>
  <si>
    <t xml:space="preserve">PIR</t>
  </si>
  <si>
    <t xml:space="preserve">EC097</t>
  </si>
  <si>
    <t xml:space="preserve">IR Sensor</t>
  </si>
  <si>
    <t xml:space="preserve">EC098</t>
  </si>
  <si>
    <t xml:space="preserve">IR sensor (SMD)</t>
  </si>
  <si>
    <t xml:space="preserve">EC099</t>
  </si>
  <si>
    <t xml:space="preserve">Latching Push-Button Switch</t>
  </si>
  <si>
    <t xml:space="preserve">EC100</t>
  </si>
  <si>
    <t xml:space="preserve">Slide Switch</t>
  </si>
  <si>
    <t xml:space="preserve">EC101</t>
  </si>
  <si>
    <t xml:space="preserve">Push Switch</t>
  </si>
  <si>
    <t xml:space="preserve">EC102</t>
  </si>
  <si>
    <t xml:space="preserve">18 Pin IC Base</t>
  </si>
  <si>
    <t xml:space="preserve">EC103</t>
  </si>
  <si>
    <t xml:space="preserve">14 Pin IC Base</t>
  </si>
  <si>
    <t xml:space="preserve">EC104</t>
  </si>
  <si>
    <t xml:space="preserve">20 Pin IC Base</t>
  </si>
  <si>
    <t xml:space="preserve">EC105</t>
  </si>
  <si>
    <t xml:space="preserve">24V Relay</t>
  </si>
  <si>
    <t xml:space="preserve">EC106</t>
  </si>
  <si>
    <t xml:space="preserve">5V Realy</t>
  </si>
  <si>
    <t xml:space="preserve">EC107</t>
  </si>
  <si>
    <t xml:space="preserve">L298N Module</t>
  </si>
  <si>
    <t xml:space="preserve">EC108</t>
  </si>
  <si>
    <t xml:space="preserve">28 Pin IC Base</t>
  </si>
  <si>
    <t xml:space="preserve">EC109</t>
  </si>
  <si>
    <t xml:space="preserve">40 Pin ZIF Socket</t>
  </si>
  <si>
    <t xml:space="preserve">EC110</t>
  </si>
  <si>
    <t xml:space="preserve">28 Pin ZIF Socket</t>
  </si>
  <si>
    <t xml:space="preserve">EC111</t>
  </si>
  <si>
    <t xml:space="preserve">NEO 6M GPS Module</t>
  </si>
  <si>
    <t xml:space="preserve">EC112</t>
  </si>
  <si>
    <t xml:space="preserve">SIM800L GPRS GSM Module</t>
  </si>
  <si>
    <t xml:space="preserve">EC113</t>
  </si>
  <si>
    <t xml:space="preserve">NEO6M GPS Antenna</t>
  </si>
  <si>
    <t xml:space="preserve">EC114</t>
  </si>
  <si>
    <t xml:space="preserve">IRF 420 Mosfet Module</t>
  </si>
  <si>
    <t xml:space="preserve">EC115</t>
  </si>
  <si>
    <t xml:space="preserve">Normal Screw Bolt</t>
  </si>
  <si>
    <t xml:space="preserve">EC116</t>
  </si>
  <si>
    <t xml:space="preserve">SMD Screw and Bolt</t>
  </si>
  <si>
    <t xml:space="preserve">EC117</t>
  </si>
  <si>
    <t xml:space="preserve">EC118</t>
  </si>
  <si>
    <t xml:space="preserve">8 Pin IC Base</t>
  </si>
  <si>
    <t xml:space="preserve">EC119</t>
  </si>
  <si>
    <t xml:space="preserve">16 Pin IC Base</t>
  </si>
  <si>
    <t xml:space="preserve">EC120</t>
  </si>
  <si>
    <t xml:space="preserve">A 103 J Resister Network</t>
  </si>
  <si>
    <t xml:space="preserve">EC121</t>
  </si>
  <si>
    <t xml:space="preserve">Zener Diode</t>
  </si>
  <si>
    <t xml:space="preserve">EC122</t>
  </si>
  <si>
    <t xml:space="preserve">NE 555 P</t>
  </si>
  <si>
    <t xml:space="preserve">EC123</t>
  </si>
  <si>
    <t xml:space="preserve">MT 8870 DE</t>
  </si>
  <si>
    <t xml:space="preserve">EC124</t>
  </si>
  <si>
    <t xml:space="preserve">HT 9170 B</t>
  </si>
  <si>
    <t xml:space="preserve">EC125</t>
  </si>
  <si>
    <t xml:space="preserve">ULN2003APG</t>
  </si>
  <si>
    <t xml:space="preserve">EC126</t>
  </si>
  <si>
    <t xml:space="preserve">ULN2803APG</t>
  </si>
  <si>
    <t xml:space="preserve">EC127</t>
  </si>
  <si>
    <t xml:space="preserve">HD74LS02P</t>
  </si>
  <si>
    <t xml:space="preserve">EC128</t>
  </si>
  <si>
    <t xml:space="preserve">SN74HC595N</t>
  </si>
  <si>
    <t xml:space="preserve">EC129</t>
  </si>
  <si>
    <t xml:space="preserve">LM324N</t>
  </si>
  <si>
    <t xml:space="preserve">EC130</t>
  </si>
  <si>
    <t xml:space="preserve">LM386</t>
  </si>
  <si>
    <t xml:space="preserve">EC131</t>
  </si>
  <si>
    <t xml:space="preserve">LM358N</t>
  </si>
  <si>
    <t xml:space="preserve">EC132</t>
  </si>
  <si>
    <t xml:space="preserve">MOC3021</t>
  </si>
  <si>
    <t xml:space="preserve">EC133</t>
  </si>
  <si>
    <t xml:space="preserve">4N35</t>
  </si>
  <si>
    <t xml:space="preserve">EC134</t>
  </si>
  <si>
    <t xml:space="preserve">BC547B</t>
  </si>
  <si>
    <t xml:space="preserve">EC135</t>
  </si>
  <si>
    <t xml:space="preserve">A741</t>
  </si>
  <si>
    <t xml:space="preserve">EC136</t>
  </si>
  <si>
    <t xml:space="preserve">DB 107 Bridge Rectfire</t>
  </si>
  <si>
    <t xml:space="preserve">EC137</t>
  </si>
  <si>
    <t xml:space="preserve">BC558B</t>
  </si>
  <si>
    <t xml:space="preserve">EC138</t>
  </si>
  <si>
    <t xml:space="preserve">L7805</t>
  </si>
  <si>
    <t xml:space="preserve">EC139</t>
  </si>
  <si>
    <t xml:space="preserve">IRF Z44N</t>
  </si>
  <si>
    <t xml:space="preserve">EC140</t>
  </si>
  <si>
    <t xml:space="preserve">TS317</t>
  </si>
  <si>
    <t xml:space="preserve">EC141</t>
  </si>
  <si>
    <t xml:space="preserve">LM317</t>
  </si>
  <si>
    <t xml:space="preserve">EC142</t>
  </si>
  <si>
    <t xml:space="preserve">IRF9540 N</t>
  </si>
  <si>
    <t xml:space="preserve">EC143</t>
  </si>
  <si>
    <t xml:space="preserve">BT136</t>
  </si>
  <si>
    <t xml:space="preserve">EC144</t>
  </si>
  <si>
    <t xml:space="preserve">IRF9234N</t>
  </si>
  <si>
    <t xml:space="preserve">EC145</t>
  </si>
  <si>
    <t xml:space="preserve">LD33V</t>
  </si>
  <si>
    <t xml:space="preserve">EC146</t>
  </si>
  <si>
    <t xml:space="preserve">ATmega 8A</t>
  </si>
  <si>
    <t xml:space="preserve">EC147</t>
  </si>
  <si>
    <t xml:space="preserve">ATmega 328 P</t>
  </si>
  <si>
    <t xml:space="preserve">EC148</t>
  </si>
  <si>
    <t xml:space="preserve">MAX 232 CPE / N</t>
  </si>
  <si>
    <t xml:space="preserve">EC149</t>
  </si>
  <si>
    <t xml:space="preserve">36ZFDT4G3 - ADC0804LCN</t>
  </si>
  <si>
    <t xml:space="preserve">EC150</t>
  </si>
  <si>
    <t xml:space="preserve">P0838AB - ADC0804LCN</t>
  </si>
  <si>
    <t xml:space="preserve">EC151</t>
  </si>
  <si>
    <t xml:space="preserve">L293D</t>
  </si>
  <si>
    <t xml:space="preserve">EC152</t>
  </si>
  <si>
    <t xml:space="preserve">74LS08P</t>
  </si>
  <si>
    <t xml:space="preserve">EC153</t>
  </si>
  <si>
    <t xml:space="preserve">74LS32P</t>
  </si>
  <si>
    <t xml:space="preserve">EC154</t>
  </si>
  <si>
    <t xml:space="preserve">74LS164N</t>
  </si>
  <si>
    <t xml:space="preserve">EC155</t>
  </si>
  <si>
    <t xml:space="preserve">74LS86P</t>
  </si>
  <si>
    <t xml:space="preserve">EC156</t>
  </si>
  <si>
    <t xml:space="preserve">74LS136N</t>
  </si>
  <si>
    <t xml:space="preserve">EC157</t>
  </si>
  <si>
    <t xml:space="preserve">74LS245P</t>
  </si>
  <si>
    <t xml:space="preserve">EC158</t>
  </si>
  <si>
    <t xml:space="preserve">74LS12N</t>
  </si>
  <si>
    <t xml:space="preserve">EC159</t>
  </si>
  <si>
    <t xml:space="preserve">74LS04P</t>
  </si>
  <si>
    <t xml:space="preserve">EC160</t>
  </si>
  <si>
    <t xml:space="preserve">74LS161N</t>
  </si>
  <si>
    <t xml:space="preserve">EC161</t>
  </si>
  <si>
    <t xml:space="preserve">74HC244</t>
  </si>
  <si>
    <t xml:space="preserve">EC162</t>
  </si>
  <si>
    <t xml:space="preserve">74HCT138</t>
  </si>
  <si>
    <t xml:space="preserve">EC163</t>
  </si>
  <si>
    <t xml:space="preserve">74HC86</t>
  </si>
  <si>
    <t xml:space="preserve">EC164</t>
  </si>
  <si>
    <t xml:space="preserve">74LS90N</t>
  </si>
  <si>
    <t xml:space="preserve">EC165</t>
  </si>
  <si>
    <t xml:space="preserve">74HC32N</t>
  </si>
  <si>
    <t xml:space="preserve">EC166</t>
  </si>
  <si>
    <t xml:space="preserve">ST232CN</t>
  </si>
  <si>
    <t xml:space="preserve">EC167</t>
  </si>
  <si>
    <t xml:space="preserve">ADM 232 LJN</t>
  </si>
  <si>
    <t xml:space="preserve">EC168</t>
  </si>
  <si>
    <t xml:space="preserve">SP232 AEP</t>
  </si>
  <si>
    <t xml:space="preserve">EC169</t>
  </si>
  <si>
    <t xml:space="preserve">LX232N</t>
  </si>
  <si>
    <t xml:space="preserve">EC170</t>
  </si>
  <si>
    <t xml:space="preserve">ATmega 16</t>
  </si>
  <si>
    <t xml:space="preserve">EC171</t>
  </si>
  <si>
    <t xml:space="preserve">PIC16F877A</t>
  </si>
  <si>
    <t xml:space="preserve">EC172</t>
  </si>
  <si>
    <t xml:space="preserve">HT-12E</t>
  </si>
  <si>
    <t xml:space="preserve">EC173</t>
  </si>
  <si>
    <t xml:space="preserve">HT-12D</t>
  </si>
  <si>
    <t xml:space="preserve">EC174</t>
  </si>
  <si>
    <t xml:space="preserve">UA741CN</t>
  </si>
  <si>
    <t xml:space="preserve">EC175</t>
  </si>
  <si>
    <t xml:space="preserve">CM8870PI</t>
  </si>
  <si>
    <t xml:space="preserve">EC176</t>
  </si>
  <si>
    <t xml:space="preserve">AT89C2051</t>
  </si>
  <si>
    <t xml:space="preserve">EC177</t>
  </si>
  <si>
    <t xml:space="preserve">HCF40417BE</t>
  </si>
  <si>
    <t xml:space="preserve">EC178</t>
  </si>
  <si>
    <t xml:space="preserve">CS9370</t>
  </si>
  <si>
    <t xml:space="preserve">EC179</t>
  </si>
  <si>
    <t xml:space="preserve">3.5 MM jack</t>
  </si>
  <si>
    <t xml:space="preserve">EC180</t>
  </si>
  <si>
    <t xml:space="preserve">PSoC 4 CY8C</t>
  </si>
  <si>
    <t xml:space="preserve">EC181</t>
  </si>
  <si>
    <t xml:space="preserve">Arduino Mega</t>
  </si>
  <si>
    <t xml:space="preserve">EC182</t>
  </si>
  <si>
    <t xml:space="preserve">Arduino UNO</t>
  </si>
  <si>
    <t xml:space="preserve">EC183</t>
  </si>
  <si>
    <t xml:space="preserve">ESP 8266</t>
  </si>
  <si>
    <t xml:space="preserve">EC184</t>
  </si>
  <si>
    <t xml:space="preserve">ESP32</t>
  </si>
  <si>
    <t xml:space="preserve">EC185</t>
  </si>
  <si>
    <t xml:space="preserve">Female to Female</t>
  </si>
  <si>
    <t xml:space="preserve">EC186</t>
  </si>
  <si>
    <t xml:space="preserve">Male to Male</t>
  </si>
  <si>
    <t xml:space="preserve">EC187</t>
  </si>
  <si>
    <t xml:space="preserve">Male to Female</t>
  </si>
  <si>
    <t xml:space="preserve">EC188</t>
  </si>
  <si>
    <t xml:space="preserve">16x2 LCD Display</t>
  </si>
  <si>
    <t xml:space="preserve">EC189</t>
  </si>
  <si>
    <t xml:space="preserve">USB Extention Cable</t>
  </si>
  <si>
    <t xml:space="preserve">EC190</t>
  </si>
  <si>
    <t xml:space="preserve">Ri- Pi Cable</t>
  </si>
  <si>
    <t xml:space="preserve">EC191</t>
  </si>
  <si>
    <t xml:space="preserve">HDMI Adapter</t>
  </si>
  <si>
    <t xml:space="preserve">EC192</t>
  </si>
  <si>
    <t xml:space="preserve">AC cords and cables</t>
  </si>
  <si>
    <t xml:space="preserve">EC193</t>
  </si>
  <si>
    <t xml:space="preserve">Robotronix IR sensor</t>
  </si>
  <si>
    <t xml:space="preserve">EC194</t>
  </si>
  <si>
    <t xml:space="preserve">1 Channel Relay Module</t>
  </si>
  <si>
    <t xml:space="preserve">EC195</t>
  </si>
  <si>
    <t xml:space="preserve">2 Channel Relay Module</t>
  </si>
  <si>
    <t xml:space="preserve">EC196</t>
  </si>
  <si>
    <t xml:space="preserve">4 Channel Relay Module</t>
  </si>
  <si>
    <t xml:space="preserve">EC197</t>
  </si>
  <si>
    <t xml:space="preserve">A Type USB Cable</t>
  </si>
  <si>
    <t xml:space="preserve">EC198</t>
  </si>
  <si>
    <t xml:space="preserve">STM 32 Cable</t>
  </si>
  <si>
    <t xml:space="preserve">EC199</t>
  </si>
  <si>
    <t xml:space="preserve">Micro USB Cable</t>
  </si>
  <si>
    <t xml:space="preserve">EC200</t>
  </si>
  <si>
    <t xml:space="preserve">JST connector</t>
  </si>
  <si>
    <t xml:space="preserve">EC201</t>
  </si>
  <si>
    <t xml:space="preserve">EC202</t>
  </si>
  <si>
    <t xml:space="preserve">GSM Rx Module</t>
  </si>
  <si>
    <t xml:space="preserve">EC203</t>
  </si>
  <si>
    <t xml:space="preserve">19v Adapter</t>
  </si>
  <si>
    <t xml:space="preserve">EC204</t>
  </si>
  <si>
    <t xml:space="preserve">5V adapter</t>
  </si>
  <si>
    <t xml:space="preserve">EC205</t>
  </si>
  <si>
    <t xml:space="preserve">12v Adapter</t>
  </si>
  <si>
    <t xml:space="preserve">EC206</t>
  </si>
  <si>
    <t xml:space="preserve">9V Adapter</t>
  </si>
  <si>
    <t xml:space="preserve">EC207</t>
  </si>
  <si>
    <t xml:space="preserve">14V Adapter</t>
  </si>
  <si>
    <t xml:space="preserve">EC208</t>
  </si>
  <si>
    <t xml:space="preserve">BreadBoard</t>
  </si>
  <si>
    <t xml:space="preserve">EC209</t>
  </si>
  <si>
    <t xml:space="preserve">EM-18 Reader Module</t>
  </si>
  <si>
    <t xml:space="preserve">EC210</t>
  </si>
  <si>
    <t xml:space="preserve">128x64 dislpay</t>
  </si>
  <si>
    <t xml:space="preserve">EC211</t>
  </si>
  <si>
    <t xml:space="preserve">JHD 204 A Display</t>
  </si>
  <si>
    <t xml:space="preserve">EC212</t>
  </si>
  <si>
    <t xml:space="preserve">9V Battery</t>
  </si>
  <si>
    <t xml:space="preserve">EC213</t>
  </si>
  <si>
    <t xml:space="preserve">9V Battery Cap</t>
  </si>
  <si>
    <t xml:space="preserve">EC214</t>
  </si>
  <si>
    <t xml:space="preserve">GPS Reciever Module</t>
  </si>
  <si>
    <t xml:space="preserve">EC215</t>
  </si>
  <si>
    <t xml:space="preserve">10 pin IC Base</t>
  </si>
  <si>
    <t xml:space="preserve">EC216</t>
  </si>
  <si>
    <t xml:space="preserve">3.7V 1250 mAh Battery</t>
  </si>
  <si>
    <t xml:space="preserve">Yes</t>
  </si>
  <si>
    <t xml:space="preserve">EC217</t>
  </si>
  <si>
    <t xml:space="preserve">3.7V 400 mAh Battery</t>
  </si>
  <si>
    <t xml:space="preserve">EC218</t>
  </si>
  <si>
    <t xml:space="preserve">60 GHz mmWave Sensor - Breathing and Heartbeat Module</t>
  </si>
  <si>
    <t xml:space="preserve">EC219</t>
  </si>
  <si>
    <t xml:space="preserve">60GHz mmwave Radar Sensor Module</t>
  </si>
  <si>
    <t xml:space="preserve">EC220</t>
  </si>
  <si>
    <t xml:space="preserve">SMD RGB</t>
  </si>
  <si>
    <t xml:space="preserve">EC221</t>
  </si>
  <si>
    <t xml:space="preserve">bushless Fan</t>
  </si>
  <si>
    <t xml:space="preserve">EC222</t>
  </si>
  <si>
    <t xml:space="preserve">JST Connector</t>
  </si>
  <si>
    <t xml:space="preserve">EC223</t>
  </si>
  <si>
    <t xml:space="preserve">0 Ωs 62.5mW 0402 1 Resistor</t>
  </si>
  <si>
    <t xml:space="preserve">EC224</t>
  </si>
  <si>
    <t xml:space="preserve">4 pin -1.6 mm Height low profile side push type tact swirch 1.7mm pitch</t>
  </si>
  <si>
    <t xml:space="preserve">EC225</t>
  </si>
  <si>
    <t xml:space="preserve">XL Nozzle Kit for air pump</t>
  </si>
  <si>
    <t xml:space="preserve">EC226</t>
  </si>
  <si>
    <t xml:space="preserve">USB TTL Converter</t>
  </si>
  <si>
    <t xml:space="preserve">EC227</t>
  </si>
  <si>
    <t xml:space="preserve">EC228</t>
  </si>
  <si>
    <t xml:space="preserve">2 mm Pitch 2 Pin JST Connector</t>
  </si>
  <si>
    <t xml:space="preserve">EC229</t>
  </si>
  <si>
    <t xml:space="preserve">Flex PCB AWM 20624 80C 60V VW-1</t>
  </si>
  <si>
    <t xml:space="preserve">EC230</t>
  </si>
  <si>
    <t xml:space="preserve">AHT25 Integrated Temparature And Humidity Sensor</t>
  </si>
  <si>
    <t xml:space="preserve">EC231</t>
  </si>
  <si>
    <t xml:space="preserve">Jumper Male Head</t>
  </si>
  <si>
    <t xml:space="preserve">EC232</t>
  </si>
  <si>
    <t xml:space="preserve">Jumper Female Head</t>
  </si>
  <si>
    <t xml:space="preserve">EC233</t>
  </si>
  <si>
    <t xml:space="preserve">R5F100BCA MCU</t>
  </si>
  <si>
    <t xml:space="preserve">EC234</t>
  </si>
  <si>
    <t xml:space="preserve">724834-C_13 (World's Lowest Power)</t>
  </si>
  <si>
    <t xml:space="preserve">EC235</t>
  </si>
  <si>
    <t xml:space="preserve">WS2812B - 2020 - Addressable RGB Pixel Led</t>
  </si>
  <si>
    <t xml:space="preserve">EC236</t>
  </si>
  <si>
    <t xml:space="preserve">652 - CDSOD323 - T05LC (TVS Diode)</t>
  </si>
  <si>
    <t xml:space="preserve">EC237</t>
  </si>
  <si>
    <t xml:space="preserve">PM20631</t>
  </si>
  <si>
    <t xml:space="preserve">EC238</t>
  </si>
  <si>
    <t xml:space="preserve">NCP176AMX330TCG (IC REG LINER 3.3V 500MA 6-XDFN)</t>
  </si>
  <si>
    <t xml:space="preserve">EC239</t>
  </si>
  <si>
    <t xml:space="preserve">DF2S6.8FS,L3M (TVS Diode 5VWM 9VC SOD923)</t>
  </si>
  <si>
    <t xml:space="preserve">EC240</t>
  </si>
  <si>
    <t xml:space="preserve">W250512JVBIQ-ND (IC Flash 512MBIT SPI 24TFBGA)</t>
  </si>
  <si>
    <t xml:space="preserve">EC241</t>
  </si>
  <si>
    <t xml:space="preserve">TX0104EYZTR (IC XLTR VL BIDIR 12-DSBGA)</t>
  </si>
  <si>
    <t xml:space="preserve">EC242</t>
  </si>
  <si>
    <t xml:space="preserve">LQG15HS3N9B02D ( Fixed IND 3.9NH 750MA 0.14Ω SM)</t>
  </si>
  <si>
    <t xml:space="preserve">EC243</t>
  </si>
  <si>
    <t xml:space="preserve">CC042KRNPO9BN101 (CAP CER 100PF 50V COG/NPO 0402)</t>
  </si>
  <si>
    <t xml:space="preserve">EC244</t>
  </si>
  <si>
    <t xml:space="preserve">CC042JRNP09BN120 ( CAP CER 12PF 50V COG/NPO 0402)</t>
  </si>
  <si>
    <t xml:space="preserve">EC245</t>
  </si>
  <si>
    <t xml:space="preserve">4.7uf/4700nF 50V 10% Tolerance Capacitor 04025C475KAT2A</t>
  </si>
  <si>
    <t xml:space="preserve">EC246</t>
  </si>
  <si>
    <t xml:space="preserve">EC247</t>
  </si>
  <si>
    <t xml:space="preserve">10uf 50V 10% Tolerance Capacitor 04025C475KAT2A</t>
  </si>
  <si>
    <t xml:space="preserve">EC248</t>
  </si>
  <si>
    <t xml:space="preserve">1uf 1000V 10% Tolerance Capacitor 04025C475KAT2A</t>
  </si>
  <si>
    <t xml:space="preserve">EC249</t>
  </si>
  <si>
    <t xml:space="preserve">10uf 50V 10% Tolerance Capacitor 04025C106KAT2A</t>
  </si>
  <si>
    <t xml:space="preserve">EC250</t>
  </si>
  <si>
    <t xml:space="preserve">ABS06 - 32.7680KHz 12.fPF SMD</t>
  </si>
  <si>
    <t xml:space="preserve">EC251</t>
  </si>
  <si>
    <t xml:space="preserve">50v 0.1uf X7R 0402</t>
  </si>
  <si>
    <t xml:space="preserve">EC252</t>
  </si>
  <si>
    <t xml:space="preserve">50v 100pf C0G 0402</t>
  </si>
  <si>
    <t xml:space="preserve">EC253</t>
  </si>
  <si>
    <t xml:space="preserve">LBMF1608T100K (Fixed IND 10UH 80 MA 360MΩ SMD)</t>
  </si>
  <si>
    <t xml:space="preserve">EC254</t>
  </si>
  <si>
    <t xml:space="preserve">20566-001E-01(MHF 5 RECEPTACLE)</t>
  </si>
  <si>
    <t xml:space="preserve">EC255</t>
  </si>
  <si>
    <t xml:space="preserve">MCLA1005V2-150-RT -ND (Fixed IND 15NH 300MA 500MΩ SMD)</t>
  </si>
  <si>
    <t xml:space="preserve">EC256</t>
  </si>
  <si>
    <t xml:space="preserve">CL05B104KB5NNNC( CAP CER 0.1uf 50v X7R 0402)</t>
  </si>
  <si>
    <t xml:space="preserve">EC257</t>
  </si>
  <si>
    <t xml:space="preserve">GJM 1555C 1HR80WB01D(CAP CER 0.8PF 50V COG/NPO 0402)</t>
  </si>
  <si>
    <t xml:space="preserve">EC258</t>
  </si>
  <si>
    <t xml:space="preserve">3.9NH +-.1NH murata RF Inductor</t>
  </si>
  <si>
    <t xml:space="preserve">EC259</t>
  </si>
  <si>
    <t xml:space="preserve">15 NH 5% AEC-Q200 Eaton RF Inductor</t>
  </si>
  <si>
    <t xml:space="preserve">EC260</t>
  </si>
  <si>
    <t xml:space="preserve">50v 12 pF C0G 0402</t>
  </si>
  <si>
    <t xml:space="preserve">EC261</t>
  </si>
  <si>
    <t xml:space="preserve">0.8 pF 50 VDC 0.05 p</t>
  </si>
  <si>
    <t xml:space="preserve">EC262</t>
  </si>
  <si>
    <t xml:space="preserve">5.6 k0hms 62.5mW 040</t>
  </si>
  <si>
    <t xml:space="preserve">EC263</t>
  </si>
  <si>
    <t xml:space="preserve">LSQBB160808T100K Power inductor</t>
  </si>
  <si>
    <t xml:space="preserve">EC264</t>
  </si>
  <si>
    <t xml:space="preserve">RES 5.6K Ω 1% 1/16 W 0402</t>
  </si>
  <si>
    <t xml:space="preserve">EC265</t>
  </si>
  <si>
    <t xml:space="preserve">ESD Protection diode</t>
  </si>
  <si>
    <t xml:space="preserve">EC266</t>
  </si>
  <si>
    <t xml:space="preserve">RES 110K Ω 1% 1/16W 0402</t>
  </si>
  <si>
    <t xml:space="preserve">EC267</t>
  </si>
  <si>
    <t xml:space="preserve">CRYSTAL 32.0000MHZ 12PF SMD</t>
  </si>
  <si>
    <t xml:space="preserve">EC268</t>
  </si>
  <si>
    <t xml:space="preserve">100k Ωs 62.5 mW 040</t>
  </si>
  <si>
    <t xml:space="preserve">EC269</t>
  </si>
  <si>
    <t xml:space="preserve">RES 0 ΩS Jumper 1/16 W 0402</t>
  </si>
  <si>
    <t xml:space="preserve">EC270</t>
  </si>
  <si>
    <t xml:space="preserve">CONN HEADER SMD 3 POS 1.2MM</t>
  </si>
  <si>
    <t xml:space="preserve">EC271</t>
  </si>
  <si>
    <t xml:space="preserve">CONN FFC FPC 6POS 0.5MM R/A</t>
  </si>
  <si>
    <t xml:space="preserve">EC272</t>
  </si>
  <si>
    <t xml:space="preserve">IC BATT CHG LI-ION 1CELL 20QFN</t>
  </si>
  <si>
    <t xml:space="preserve">EC273</t>
  </si>
  <si>
    <t xml:space="preserve">TVS Diode 5VWM 18.3VC SOD323</t>
  </si>
  <si>
    <t xml:space="preserve">EC274</t>
  </si>
  <si>
    <t xml:space="preserve">500 Ω Resistor+</t>
  </si>
  <si>
    <t xml:space="preserve">EC275</t>
  </si>
  <si>
    <t xml:space="preserve">22K Ω Resistor+</t>
  </si>
  <si>
    <t xml:space="preserve">EC276</t>
  </si>
  <si>
    <t xml:space="preserve">5K Ω Resistor+</t>
  </si>
  <si>
    <t xml:space="preserve">EC277</t>
  </si>
  <si>
    <t xml:space="preserve">1.7K Ω Resistor+</t>
  </si>
  <si>
    <t xml:space="preserve">EC278</t>
  </si>
  <si>
    <t xml:space="preserve">390 Ω Resistor+</t>
  </si>
  <si>
    <t xml:space="preserve">EC279</t>
  </si>
  <si>
    <t xml:space="preserve">47 Ω Resistor+</t>
  </si>
  <si>
    <t xml:space="preserve">EC280</t>
  </si>
  <si>
    <t xml:space="preserve">EC281</t>
  </si>
  <si>
    <t xml:space="preserve">120K Ω Resistor+</t>
  </si>
  <si>
    <t xml:space="preserve">EC282</t>
  </si>
  <si>
    <t xml:space="preserve">470K Ω Resistor+</t>
  </si>
  <si>
    <t xml:space="preserve">EC283</t>
  </si>
  <si>
    <t xml:space="preserve">39 Ω Resistor+</t>
  </si>
  <si>
    <t xml:space="preserve">EC284</t>
  </si>
  <si>
    <t xml:space="preserve">EC285</t>
  </si>
  <si>
    <t xml:space="preserve">55K Ω Resistor+</t>
  </si>
  <si>
    <t xml:space="preserve">EC286</t>
  </si>
  <si>
    <t xml:space="preserve">EC287</t>
  </si>
  <si>
    <t xml:space="preserve">270K Ω Resistor+</t>
  </si>
  <si>
    <t xml:space="preserve">EC288</t>
  </si>
  <si>
    <t xml:space="preserve">56K Ω Resistor+</t>
  </si>
  <si>
    <t xml:space="preserve">EC289</t>
  </si>
  <si>
    <t xml:space="preserve">2K Ω Resistor+</t>
  </si>
  <si>
    <t xml:space="preserve">EC290</t>
  </si>
  <si>
    <t xml:space="preserve">100K Ω Resistor+</t>
  </si>
  <si>
    <t xml:space="preserve">EC291</t>
  </si>
  <si>
    <t xml:space="preserve">RFID Reader</t>
  </si>
  <si>
    <t xml:space="preserve">EC292</t>
  </si>
  <si>
    <t xml:space="preserve">RFID Card</t>
  </si>
  <si>
    <t xml:space="preserve">EC293</t>
  </si>
  <si>
    <t xml:space="preserve">RFID Tag</t>
  </si>
  <si>
    <t xml:space="preserve">EC294</t>
  </si>
  <si>
    <t xml:space="preserve">HC-05 Bluetooth Module</t>
  </si>
  <si>
    <t xml:space="preserve">EC295</t>
  </si>
  <si>
    <t xml:space="preserve">EC296</t>
  </si>
  <si>
    <t xml:space="preserve">Soilder Wire</t>
  </si>
  <si>
    <t xml:space="preserve">EC297</t>
  </si>
  <si>
    <t xml:space="preserve">Soilderf Iron</t>
  </si>
  <si>
    <t xml:space="preserve">EC298</t>
  </si>
  <si>
    <t xml:space="preserve">Soilder Stand</t>
  </si>
  <si>
    <t xml:space="preserve">EC299</t>
  </si>
  <si>
    <t xml:space="preserve">Sucker Pump</t>
  </si>
  <si>
    <t xml:space="preserve">EC300</t>
  </si>
  <si>
    <t xml:space="preserve">Soilder Paste/ oil</t>
  </si>
  <si>
    <t xml:space="preserve">EC301</t>
  </si>
  <si>
    <t xml:space="preserve">Soilder SMD Paste</t>
  </si>
  <si>
    <t xml:space="preserve">EC302</t>
  </si>
  <si>
    <t xml:space="preserve">De-soilder Wire</t>
  </si>
  <si>
    <t xml:space="preserve">EC303</t>
  </si>
  <si>
    <t xml:space="preserve">Single Strenght Wire</t>
  </si>
  <si>
    <t xml:space="preserve">EC304</t>
  </si>
  <si>
    <t xml:space="preserve">Forsive</t>
  </si>
  <si>
    <t xml:space="preserve">EC305</t>
  </si>
  <si>
    <t xml:space="preserve">Crocodile Cable/ Multimeter</t>
  </si>
  <si>
    <t xml:space="preserve">EC306</t>
  </si>
  <si>
    <t xml:space="preserve">PCB Eathching Powder</t>
  </si>
  <si>
    <t xml:space="preserve">EC307</t>
  </si>
  <si>
    <t xml:space="preserve">Servo Motor (SG 90)</t>
  </si>
  <si>
    <t xml:space="preserve">EC308</t>
  </si>
  <si>
    <t xml:space="preserve">Bulb Holder</t>
  </si>
  <si>
    <t xml:space="preserve">EC309</t>
  </si>
  <si>
    <t xml:space="preserve">EC310</t>
  </si>
  <si>
    <t xml:space="preserve">Transformer</t>
  </si>
  <si>
    <t xml:space="preserve">EC311</t>
  </si>
  <si>
    <t xml:space="preserve">Two Pin</t>
  </si>
  <si>
    <t xml:space="preserve">EC312</t>
  </si>
  <si>
    <t xml:space="preserve">Three Pin</t>
  </si>
  <si>
    <t xml:space="preserve">EC313</t>
  </si>
  <si>
    <t xml:space="preserve">Wire Slive</t>
  </si>
  <si>
    <t xml:space="preserve">EC314</t>
  </si>
  <si>
    <t xml:space="preserve">Rainbow Wire</t>
  </si>
  <si>
    <t xml:space="preserve">EC315</t>
  </si>
  <si>
    <t xml:space="preserve">multimeter</t>
  </si>
  <si>
    <t xml:space="preserve">EC316</t>
  </si>
  <si>
    <t xml:space="preserve">Screw Driver</t>
  </si>
  <si>
    <t xml:space="preserve">EC317</t>
  </si>
  <si>
    <t xml:space="preserve">Robo Chesis</t>
  </si>
  <si>
    <t xml:space="preserve">EC318</t>
  </si>
  <si>
    <t xml:space="preserve">BO Motor</t>
  </si>
  <si>
    <t xml:space="preserve">EC319</t>
  </si>
  <si>
    <t xml:space="preserve">Rasberry Pi</t>
  </si>
  <si>
    <t xml:space="preserve">EC320</t>
  </si>
  <si>
    <t xml:space="preserve">Jetson Nano</t>
  </si>
  <si>
    <t xml:space="preserve">EC321</t>
  </si>
  <si>
    <t xml:space="preserve">LCD(R-pi/ jetson)</t>
  </si>
  <si>
    <t xml:space="preserve">EC322</t>
  </si>
  <si>
    <t xml:space="preserve">Type-c to Micro</t>
  </si>
  <si>
    <t xml:space="preserve">EC323</t>
  </si>
  <si>
    <t xml:space="preserve">HDMI to vga Converter</t>
  </si>
  <si>
    <t xml:space="preserve">EC324</t>
  </si>
  <si>
    <t xml:space="preserve">Cable-Tie</t>
  </si>
  <si>
    <t xml:space="preserve">EC325</t>
  </si>
  <si>
    <t xml:space="preserve">SD Card Reader</t>
  </si>
  <si>
    <t xml:space="preserve">EC326</t>
  </si>
  <si>
    <t xml:space="preserve">SD Card</t>
  </si>
  <si>
    <t xml:space="preserve">EC327</t>
  </si>
  <si>
    <t xml:space="preserve">STM 32 Board</t>
  </si>
  <si>
    <t xml:space="preserve">EC328</t>
  </si>
  <si>
    <t xml:space="preserve">NRF52 dev Board</t>
  </si>
  <si>
    <t xml:space="preserve">EC329</t>
  </si>
  <si>
    <t xml:space="preserve">USB Camera</t>
  </si>
  <si>
    <t xml:space="preserve">EC330</t>
  </si>
  <si>
    <t xml:space="preserve">KP Litieum Battery 402025 400mAh</t>
  </si>
  <si>
    <t xml:space="preserve">EC331</t>
  </si>
  <si>
    <t xml:space="preserve">EC332</t>
  </si>
  <si>
    <t xml:space="preserve">Antenna Connector MH1 with Coax Cable Only (ANTX200P001B24003 )</t>
  </si>
  <si>
    <t xml:space="preserve">EC333</t>
  </si>
  <si>
    <t xml:space="preserve">2.4 Ghz Antenna with Coax Cable with MH1 Connector (ANTX200P001B24003 )</t>
  </si>
  <si>
    <t xml:space="preserve">EC334</t>
  </si>
  <si>
    <t xml:space="preserve">Antenna Connector MH5 to MH5 (8-21-0045)</t>
  </si>
  <si>
    <t xml:space="preserve">EC335</t>
  </si>
  <si>
    <t xml:space="preserve">Coton</t>
  </si>
  <si>
    <t xml:space="preserve">EC336</t>
  </si>
  <si>
    <t xml:space="preserve">Ultrasonic Sensor</t>
  </si>
  <si>
    <t xml:space="preserve">EC337</t>
  </si>
  <si>
    <t xml:space="preserve">RGB LED Common Cathode</t>
  </si>
  <si>
    <t xml:space="preserve">EC338</t>
  </si>
  <si>
    <t xml:space="preserve">3.7v 2500mah Lithium Battery</t>
  </si>
  <si>
    <t xml:space="preserve">EC339</t>
  </si>
  <si>
    <t xml:space="preserve">MM32-LINK Emulattor/Programmer</t>
  </si>
  <si>
    <t xml:space="preserve">EC340</t>
  </si>
  <si>
    <t xml:space="preserve">ICM 20948 - 9 axis motion tracking module (Gyroscope)</t>
  </si>
  <si>
    <t xml:space="preserve">EC341</t>
  </si>
  <si>
    <t xml:space="preserve">LSM6DS0 - 6 axis degree of freedom breakdown board (gyroscope)</t>
  </si>
  <si>
    <t xml:space="preserve">EC342</t>
  </si>
  <si>
    <t xml:space="preserve">GY-521 MPU- 6050, 3 axis Gyroscope</t>
  </si>
  <si>
    <t xml:space="preserve">EC343</t>
  </si>
  <si>
    <t xml:space="preserve">ESP 8266 wifi Module</t>
  </si>
  <si>
    <t xml:space="preserve">EC344</t>
  </si>
  <si>
    <t xml:space="preserve">GY BMP280 Atmospheric pressure sensor module</t>
  </si>
  <si>
    <t xml:space="preserve">EC345</t>
  </si>
  <si>
    <t xml:space="preserve">A4988 driver</t>
  </si>
  <si>
    <t xml:space="preserve">EC346</t>
  </si>
  <si>
    <t xml:space="preserve">TSL 2591 X Light Sensor</t>
  </si>
  <si>
    <t xml:space="preserve">EC347</t>
  </si>
  <si>
    <t xml:space="preserve">HW 611 P 280</t>
  </si>
  <si>
    <t xml:space="preserve">EC348</t>
  </si>
  <si>
    <t xml:space="preserve">MQ 135</t>
  </si>
  <si>
    <t xml:space="preserve">EC349</t>
  </si>
  <si>
    <t xml:space="preserve">1s BMS</t>
  </si>
  <si>
    <t xml:space="preserve">EC350</t>
  </si>
  <si>
    <t xml:space="preserve">Raindrop Sensor</t>
  </si>
  <si>
    <t xml:space="preserve">EC351</t>
  </si>
  <si>
    <t xml:space="preserve">KY -024 Liner Magnetic hall effect Sensor</t>
  </si>
  <si>
    <t xml:space="preserve">EC352</t>
  </si>
  <si>
    <t xml:space="preserve">LoRa Module E-5</t>
  </si>
  <si>
    <t xml:space="preserve">EC353</t>
  </si>
  <si>
    <t xml:space="preserve">Photosensitive Sensor Module</t>
  </si>
  <si>
    <t xml:space="preserve">EC354</t>
  </si>
  <si>
    <t xml:space="preserve">ACS721 Current Sensor Module</t>
  </si>
  <si>
    <t xml:space="preserve">EC355</t>
  </si>
  <si>
    <t xml:space="preserve">DTH 11</t>
  </si>
  <si>
    <t xml:space="preserve">EC356</t>
  </si>
  <si>
    <t xml:space="preserve">DTH 22</t>
  </si>
  <si>
    <t xml:space="preserve">EC357</t>
  </si>
  <si>
    <t xml:space="preserve">XH- M601 12v battery chaeging Control board</t>
  </si>
  <si>
    <t xml:space="preserve">EC358</t>
  </si>
  <si>
    <t xml:space="preserve">ADXL 335 Accelerometer</t>
  </si>
  <si>
    <t xml:space="preserve">EC359</t>
  </si>
  <si>
    <t xml:space="preserve">KY -039 Finger Heartbeat sensor</t>
  </si>
  <si>
    <t xml:space="preserve">EC360</t>
  </si>
  <si>
    <t xml:space="preserve">JSN-SR4T</t>
  </si>
  <si>
    <t xml:space="preserve">EC361</t>
  </si>
  <si>
    <t xml:space="preserve">DS1307 Real Time clock Module</t>
  </si>
  <si>
    <t xml:space="preserve">EC362</t>
  </si>
  <si>
    <t xml:space="preserve">DS3231 AT24c32 IIC Real time clock Module</t>
  </si>
  <si>
    <t xml:space="preserve">EC363</t>
  </si>
  <si>
    <t xml:space="preserve">ADS 1115 ADC module</t>
  </si>
  <si>
    <t xml:space="preserve">EC364</t>
  </si>
  <si>
    <t xml:space="preserve">RF Module</t>
  </si>
  <si>
    <t xml:space="preserve">EC365</t>
  </si>
  <si>
    <t xml:space="preserve">Core 51822 BLE 4.0 Bluetooth Wireless Module</t>
  </si>
  <si>
    <t xml:space="preserve">EC366</t>
  </si>
  <si>
    <t xml:space="preserve">Active Soil Moustire Sensor</t>
  </si>
  <si>
    <t xml:space="preserve">EC367</t>
  </si>
  <si>
    <t xml:space="preserve">Passive Soil Moisture Sensor</t>
  </si>
  <si>
    <t xml:space="preserve">EC368</t>
  </si>
  <si>
    <t xml:space="preserve">RElay iot board board Esp 8266</t>
  </si>
  <si>
    <t xml:space="preserve">EC369</t>
  </si>
  <si>
    <t xml:space="preserve">ULN2003 Stepper Motor Driver</t>
  </si>
  <si>
    <t xml:space="preserve">EC370</t>
  </si>
  <si>
    <t xml:space="preserve">DC-DC Buck Boost Converter</t>
  </si>
  <si>
    <t xml:space="preserve">EC371</t>
  </si>
  <si>
    <t xml:space="preserve">AS 608 Fingerprint Sensor</t>
  </si>
  <si>
    <t xml:space="preserve">EC372</t>
  </si>
  <si>
    <t xml:space="preserve">CCTV Audio Mic</t>
  </si>
  <si>
    <t xml:space="preserve">EC373</t>
  </si>
  <si>
    <t xml:space="preserve">SD Card 64GB</t>
  </si>
  <si>
    <t xml:space="preserve">EC374</t>
  </si>
  <si>
    <t xml:space="preserve">WLY 853837 3.7V 1250mAh Lethiuem Battery</t>
  </si>
  <si>
    <t xml:space="preserve">EC375</t>
  </si>
  <si>
    <t xml:space="preserve">REYEX RYLR998 35/24 Lora Module (Only "Tx")</t>
  </si>
  <si>
    <t xml:space="preserve">EC376</t>
  </si>
  <si>
    <t xml:space="preserve">Male to Female "MF"</t>
  </si>
  <si>
    <t xml:space="preserve">EC377</t>
  </si>
  <si>
    <t xml:space="preserve">Analyzer 24MHz 8CH</t>
  </si>
  <si>
    <t xml:space="preserve">EC378</t>
  </si>
  <si>
    <t xml:space="preserve">HT Coil for Amp Detection 100A</t>
  </si>
  <si>
    <t xml:space="preserve">EC379</t>
  </si>
  <si>
    <t xml:space="preserve">35v 1000uf Capacitor+</t>
  </si>
  <si>
    <t xml:space="preserve">EC380</t>
  </si>
  <si>
    <t xml:space="preserve">N5408 Diode 3A+</t>
  </si>
  <si>
    <t xml:space="preserve">ABOUT THIS FILE</t>
  </si>
  <si>
    <t xml:space="preserve">Source: EC Lab Eventry Management System.xlsx (Sheet1, rows 2-391), imported 9 September 2026.</t>
  </si>
  <si>
    <t xml:space="preserve">380 components across 58 storage positions were carried over.</t>
  </si>
  <si>
    <t xml:space="preserve">Cleaning applied to the original data</t>
  </si>
  <si>
    <t xml:space="preserve">  • Quantities written as "50+" were read as 50 and the component name carries a trailing + as a reminder.</t>
  </si>
  <si>
    <t xml:space="preserve">  • Quantities written as "?" were left blank and show as Not counted — 46 items need a physical count.</t>
  </si>
  <si>
    <t xml:space="preserve">  • Category spellings were unified (RES. / RES → Resistor, CAP. / CAP (SMD) → Capacitor, and so on).</t>
  </si>
  <si>
    <t xml:space="preserve">  • SMD parts kept their own column instead of being folded into the category name.</t>
  </si>
  <si>
    <t xml:space="preserve">  • Rows with no location were placed in UNASSIGNED so they stay visible instead of disappearing.</t>
  </si>
  <si>
    <t xml:space="preserve">Columns you edit are blue. Everything black is a formula.</t>
  </si>
  <si>
    <t xml:space="preserve">  Stock Qty   the physical count on the shelf</t>
  </si>
  <si>
    <t xml:space="preserve">  Min         the level below which the row turns amber</t>
  </si>
  <si>
    <t xml:space="preserve">Columns that calculate themselves</t>
  </si>
  <si>
    <t xml:space="preserve">  Issued Out  total quantity currently out on the Issue Log for that component ID</t>
  </si>
  <si>
    <t xml:space="preserve">  Available   Stock Qty minus Issued Out — this is what Status is judged on</t>
  </si>
  <si>
    <t xml:space="preserve">  Status      Out of stock (0 or less) · Low stock (below Min) · In stock · Not counted (blank qty)</t>
  </si>
  <si>
    <t xml:space="preserve">The Issue Log is wired for 500 records. To go beyond that, copy the formulas in columns C, D and J down further</t>
  </si>
  <si>
    <t xml:space="preserve">and widen the SUMIFS ranges in Inventory column G to match.</t>
  </si>
  <si>
    <t xml:space="preserve">This file and the online EC Lab Bin Index do not sync automatically. The web version is the live register;</t>
  </si>
  <si>
    <t xml:space="preserve">export its CSV whenever you want this workbook refreshed.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</si>
</sst>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6B7A88"/>
      <name val="Arial"/>
      <family val="0"/>
      <charset val="1"/>
    </font>
    <font>
      <b val="true"/>
      <sz val="9"/>
      <color rgb="FF6B7A88"/>
      <name val="Arial"/>
      <family val="0"/>
      <charset val="1"/>
    </font>
    <font>
      <b val="true"/>
      <sz val="20"/>
      <color rgb="FF1F2A36"/>
      <name val="Arial"/>
      <family val="0"/>
      <charset val="1"/>
    </font>
    <font>
      <b val="true"/>
      <sz val="11"/>
      <color rgb="FF1F2A3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AC4E1C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color rgb="FFAC4E1C"/>
      <name val="Arial"/>
      <family val="0"/>
      <charset val="1"/>
    </font>
    <font>
      <b val="true"/>
      <sz val="11"/>
      <color rgb="FFAC4E1C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4"/>
      <color rgb="FF1F2A3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AC4E1C"/>
        <bgColor rgb="FF993366"/>
      </patternFill>
    </fill>
    <fill>
      <patternFill patternType="solid">
        <fgColor rgb="FF1F2A36"/>
        <bgColor rgb="FF333300"/>
      </patternFill>
    </fill>
    <fill>
      <patternFill patternType="solid">
        <fgColor rgb="FFF4F6F8"/>
        <bgColor rgb="FFFFFFFF"/>
      </patternFill>
    </fill>
    <fill>
      <patternFill patternType="solid">
        <fgColor rgb="FFFFF3B0"/>
        <bgColor rgb="FFFBEE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2"/>
      </left>
      <right style="thin">
        <color rgb="FFD5DBE2"/>
      </right>
      <top style="thin">
        <color rgb="FFD5DBE2"/>
      </top>
      <bottom style="thin">
        <color rgb="FFD5DB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FBEED2"/>
        </patternFill>
      </fill>
    </dxf>
    <dxf>
      <fill>
        <patternFill>
          <bgColor rgb="FFDFF1E7"/>
        </patternFill>
      </fill>
    </dxf>
    <dxf>
      <fill>
        <patternFill>
          <bgColor rgb="FFFADEDB"/>
        </patternFill>
      </fill>
    </dxf>
    <dxf>
      <fill>
        <patternFill>
          <bgColor rgb="FFE7EBEF"/>
        </patternFill>
      </fill>
    </dxf>
    <dxf>
      <fill>
        <patternFill patternType="solid">
          <fgColor rgb="FF1F2A36"/>
          <bgColor rgb="FF000000"/>
        </patternFill>
      </fill>
    </dxf>
    <dxf>
      <fill>
        <patternFill patternType="solid">
          <fgColor rgb="FFDFF1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BEF"/>
          <bgColor rgb="FF000000"/>
        </patternFill>
      </fill>
    </dxf>
    <dxf>
      <fill>
        <patternFill patternType="solid">
          <fgColor rgb="FFFADEDB"/>
          <bgColor rgb="FF000000"/>
        </patternFill>
      </fill>
    </dxf>
    <dxf>
      <fill>
        <patternFill patternType="solid">
          <fgColor rgb="FFFBEED2"/>
          <bgColor rgb="FF000000"/>
        </patternFill>
      </fill>
    </dxf>
    <dxf>
      <fill>
        <patternFill patternType="solid">
          <fgColor rgb="FF6B7A8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88"/>
      <rgbColor rgb="FF9999FF"/>
      <rgbColor rgb="FF993366"/>
      <rgbColor rgb="FFFBEED2"/>
      <rgbColor rgb="FFDFF1E7"/>
      <rgbColor rgb="FF660066"/>
      <rgbColor rgb="FFFF8080"/>
      <rgbColor rgb="FF0066CC"/>
      <rgbColor rgb="FFD5DB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BEF"/>
      <rgbColor rgb="FFF4F6F8"/>
      <rgbColor rgb="FFFFF3B0"/>
      <rgbColor rgb="FF99CCFF"/>
      <rgbColor rgb="FFFF99CC"/>
      <rgbColor rgb="FFCC99FF"/>
      <rgbColor rgb="FFFADE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C4E1C"/>
      <rgbColor rgb="FF993366"/>
      <rgbColor rgb="FF333399"/>
      <rgbColor rgb="FF1F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3"/>
    <col collapsed="false" customWidth="true" hidden="false" outlineLevel="0" max="7" min="7" style="0" width="13"/>
    <col collapsed="false" customWidth="true" hidden="false" outlineLevel="0" max="8" min="8" style="0" width="62"/>
    <col collapsed="false" customWidth="true" hidden="false" outlineLevel="0" max="13" min="9" style="0" width="10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3" t="s">
        <v>3</v>
      </c>
      <c r="F5" s="3" t="s">
        <v>4</v>
      </c>
      <c r="H5" s="3" t="s">
        <v>5</v>
      </c>
      <c r="J5" s="3" t="s">
        <v>6</v>
      </c>
      <c r="L5" s="3" t="s">
        <v>7</v>
      </c>
    </row>
    <row r="6" customFormat="false" ht="24.45" hidden="false" customHeight="false" outlineLevel="0" collapsed="false">
      <c r="B6" s="4" t="n">
        <f aca="false">COUNTA(Inventory!$A$2:$A$381)</f>
        <v>380</v>
      </c>
      <c r="D6" s="4" t="n">
        <f aca="false">SUM(Inventory!$H$2:$H$381)</f>
        <v>6203</v>
      </c>
      <c r="F6" s="4" t="n">
        <f aca="false">COUNTIF(Inventory!$J$2:$J$381,"Low stock")</f>
        <v>86</v>
      </c>
      <c r="H6" s="4" t="n">
        <f aca="false">COUNTIF(Inventory!$J$2:$J$381,"Out of stock")</f>
        <v>20</v>
      </c>
      <c r="J6" s="4" t="n">
        <f aca="false">SUMIF('Issue Log'!$J$2:$J$501,"Out",'Issue Log'!$G$2:$G$501)</f>
        <v>0</v>
      </c>
      <c r="L6" s="4" t="n">
        <f aca="false">COUNTIF(Inventory!$J$2:$J$381,"Not counted")</f>
        <v>46</v>
      </c>
    </row>
    <row r="7" customFormat="false" ht="15" hidden="false" customHeight="false" outlineLevel="0" collapsed="false">
      <c r="B7" s="5" t="s">
        <v>8</v>
      </c>
      <c r="D7" s="5" t="s">
        <v>9</v>
      </c>
      <c r="F7" s="5" t="s">
        <v>10</v>
      </c>
      <c r="H7" s="5" t="s">
        <v>11</v>
      </c>
      <c r="J7" s="5" t="s">
        <v>12</v>
      </c>
      <c r="L7" s="5" t="s">
        <v>13</v>
      </c>
    </row>
    <row r="9" customFormat="false" ht="15" hidden="false" customHeight="false" outlineLevel="0" collapsed="false">
      <c r="B9" s="6" t="s">
        <v>14</v>
      </c>
      <c r="G9" s="6" t="s">
        <v>15</v>
      </c>
    </row>
    <row r="10" customFormat="false" ht="15" hidden="false" customHeight="false" outlineLevel="0" collapsed="false">
      <c r="B10" s="7" t="s">
        <v>16</v>
      </c>
      <c r="C10" s="7" t="s">
        <v>17</v>
      </c>
      <c r="D10" s="7" t="s">
        <v>18</v>
      </c>
      <c r="E10" s="7" t="s">
        <v>19</v>
      </c>
      <c r="G10" s="8" t="s">
        <v>20</v>
      </c>
      <c r="H10" s="9" t="s">
        <v>21</v>
      </c>
    </row>
    <row r="11" customFormat="false" ht="15" hidden="false" customHeight="false" outlineLevel="0" collapsed="false">
      <c r="B11" s="10" t="s">
        <v>22</v>
      </c>
      <c r="C11" s="11" t="n">
        <f aca="false">COUNTIF(Inventory!$C$2:$C$381,$B11)</f>
        <v>2</v>
      </c>
      <c r="D11" s="11" t="n">
        <f aca="false">COUNTIFS(Inventory!$C$2:$C$381,$B11,Inventory!$J$2:$J$381,"Low stock")+COUNTIFS(Inventory!$C$2:$C$381,$B11,Inventory!$J$2:$J$381,"Out of stock")</f>
        <v>0</v>
      </c>
      <c r="E11" s="11" t="n">
        <f aca="false">SUMIF(Inventory!$C$2:$C$381,$B11,Inventory!$H$2:$H$381)</f>
        <v>11</v>
      </c>
      <c r="G11" s="8" t="s">
        <v>23</v>
      </c>
      <c r="H11" s="9" t="s">
        <v>24</v>
      </c>
    </row>
    <row r="12" customFormat="false" ht="15" hidden="false" customHeight="false" outlineLevel="0" collapsed="false">
      <c r="B12" s="12" t="s">
        <v>25</v>
      </c>
      <c r="C12" s="13" t="n">
        <f aca="false">COUNTIF(Inventory!$C$2:$C$381,$B12)</f>
        <v>10</v>
      </c>
      <c r="D12" s="13" t="n">
        <f aca="false">COUNTIFS(Inventory!$C$2:$C$381,$B12,Inventory!$J$2:$J$381,"Low stock")+COUNTIFS(Inventory!$C$2:$C$381,$B12,Inventory!$J$2:$J$381,"Out of stock")</f>
        <v>4</v>
      </c>
      <c r="E12" s="13" t="n">
        <f aca="false">SUMIF(Inventory!$C$2:$C$381,$B12,Inventory!$H$2:$H$381)</f>
        <v>69</v>
      </c>
      <c r="G12" s="8" t="s">
        <v>26</v>
      </c>
      <c r="H12" s="9" t="s">
        <v>27</v>
      </c>
    </row>
    <row r="13" customFormat="false" ht="15" hidden="false" customHeight="false" outlineLevel="0" collapsed="false">
      <c r="B13" s="10" t="s">
        <v>28</v>
      </c>
      <c r="C13" s="11" t="n">
        <f aca="false">COUNTIF(Inventory!$C$2:$C$381,$B13)</f>
        <v>1</v>
      </c>
      <c r="D13" s="11" t="n">
        <f aca="false">COUNTIFS(Inventory!$C$2:$C$381,$B13,Inventory!$J$2:$J$381,"Low stock")+COUNTIFS(Inventory!$C$2:$C$381,$B13,Inventory!$J$2:$J$381,"Out of stock")</f>
        <v>0</v>
      </c>
      <c r="E13" s="11" t="n">
        <f aca="false">SUMIF(Inventory!$C$2:$C$381,$B13,Inventory!$H$2:$H$381)</f>
        <v>0</v>
      </c>
      <c r="G13" s="8" t="s">
        <v>29</v>
      </c>
      <c r="H13" s="9" t="s">
        <v>30</v>
      </c>
    </row>
    <row r="14" customFormat="false" ht="15" hidden="false" customHeight="false" outlineLevel="0" collapsed="false">
      <c r="B14" s="12" t="s">
        <v>31</v>
      </c>
      <c r="C14" s="13" t="n">
        <f aca="false">COUNTIF(Inventory!$C$2:$C$381,$B14)</f>
        <v>7</v>
      </c>
      <c r="D14" s="13" t="n">
        <f aca="false">COUNTIFS(Inventory!$C$2:$C$381,$B14,Inventory!$J$2:$J$381,"Low stock")+COUNTIFS(Inventory!$C$2:$C$381,$B14,Inventory!$J$2:$J$381,"Out of stock")</f>
        <v>1</v>
      </c>
      <c r="E14" s="13" t="n">
        <f aca="false">SUMIF(Inventory!$C$2:$C$381,$B14,Inventory!$H$2:$H$381)</f>
        <v>42</v>
      </c>
      <c r="G14" s="8" t="s">
        <v>32</v>
      </c>
      <c r="H14" s="9" t="s">
        <v>33</v>
      </c>
    </row>
    <row r="15" customFormat="false" ht="15" hidden="false" customHeight="false" outlineLevel="0" collapsed="false">
      <c r="B15" s="10" t="s">
        <v>34</v>
      </c>
      <c r="C15" s="11" t="n">
        <f aca="false">COUNTIF(Inventory!$C$2:$C$381,$B15)</f>
        <v>1</v>
      </c>
      <c r="D15" s="11" t="n">
        <f aca="false">COUNTIFS(Inventory!$C$2:$C$381,$B15,Inventory!$J$2:$J$381,"Low stock")+COUNTIFS(Inventory!$C$2:$C$381,$B15,Inventory!$J$2:$J$381,"Out of stock")</f>
        <v>0</v>
      </c>
      <c r="E15" s="11" t="n">
        <f aca="false">SUMIF(Inventory!$C$2:$C$381,$B15,Inventory!$H$2:$H$381)</f>
        <v>2</v>
      </c>
      <c r="G15" s="8" t="s">
        <v>35</v>
      </c>
      <c r="H15" s="9" t="s">
        <v>36</v>
      </c>
    </row>
    <row r="16" customFormat="false" ht="15" hidden="false" customHeight="false" outlineLevel="0" collapsed="false">
      <c r="B16" s="12" t="s">
        <v>37</v>
      </c>
      <c r="C16" s="13" t="n">
        <f aca="false">COUNTIF(Inventory!$C$2:$C$381,$B16)</f>
        <v>38</v>
      </c>
      <c r="D16" s="13" t="n">
        <f aca="false">COUNTIFS(Inventory!$C$2:$C$381,$B16,Inventory!$J$2:$J$381,"Low stock")+COUNTIFS(Inventory!$C$2:$C$381,$B16,Inventory!$J$2:$J$381,"Out of stock")</f>
        <v>11</v>
      </c>
      <c r="E16" s="13" t="n">
        <f aca="false">SUMIF(Inventory!$C$2:$C$381,$B16,Inventory!$H$2:$H$381)</f>
        <v>938</v>
      </c>
    </row>
    <row r="17" customFormat="false" ht="15" hidden="false" customHeight="false" outlineLevel="0" collapsed="false">
      <c r="B17" s="10" t="s">
        <v>38</v>
      </c>
      <c r="C17" s="11" t="n">
        <f aca="false">COUNTIF(Inventory!$C$2:$C$381,$B17)</f>
        <v>1</v>
      </c>
      <c r="D17" s="11" t="n">
        <f aca="false">COUNTIFS(Inventory!$C$2:$C$381,$B17,Inventory!$J$2:$J$381,"Low stock")+COUNTIFS(Inventory!$C$2:$C$381,$B17,Inventory!$J$2:$J$381,"Out of stock")</f>
        <v>0</v>
      </c>
      <c r="E17" s="11" t="n">
        <f aca="false">SUMIF(Inventory!$C$2:$C$381,$B17,Inventory!$H$2:$H$381)</f>
        <v>0</v>
      </c>
      <c r="G17" s="14" t="s">
        <v>39</v>
      </c>
      <c r="H17" s="14"/>
      <c r="I17" s="14"/>
      <c r="J17" s="14"/>
      <c r="K17" s="14"/>
      <c r="L17" s="14"/>
    </row>
    <row r="18" customFormat="false" ht="15" hidden="false" customHeight="false" outlineLevel="0" collapsed="false">
      <c r="B18" s="12" t="s">
        <v>40</v>
      </c>
      <c r="C18" s="13" t="n">
        <f aca="false">COUNTIF(Inventory!$C$2:$C$381,$B18)</f>
        <v>11</v>
      </c>
      <c r="D18" s="13" t="n">
        <f aca="false">COUNTIFS(Inventory!$C$2:$C$381,$B18,Inventory!$J$2:$J$381,"Low stock")+COUNTIFS(Inventory!$C$2:$C$381,$B18,Inventory!$J$2:$J$381,"Out of stock")</f>
        <v>2</v>
      </c>
      <c r="E18" s="13" t="n">
        <f aca="false">SUMIF(Inventory!$C$2:$C$381,$B18,Inventory!$H$2:$H$381)</f>
        <v>78</v>
      </c>
    </row>
    <row r="19" customFormat="false" ht="15" hidden="false" customHeight="false" outlineLevel="0" collapsed="false">
      <c r="B19" s="10" t="s">
        <v>41</v>
      </c>
      <c r="C19" s="11" t="n">
        <f aca="false">COUNTIF(Inventory!$C$2:$C$381,$B19)</f>
        <v>3</v>
      </c>
      <c r="D19" s="11" t="n">
        <f aca="false">COUNTIFS(Inventory!$C$2:$C$381,$B19,Inventory!$J$2:$J$381,"Low stock")+COUNTIFS(Inventory!$C$2:$C$381,$B19,Inventory!$J$2:$J$381,"Out of stock")</f>
        <v>0</v>
      </c>
      <c r="E19" s="11" t="n">
        <f aca="false">SUMIF(Inventory!$C$2:$C$381,$B19,Inventory!$H$2:$H$381)</f>
        <v>1</v>
      </c>
    </row>
    <row r="20" customFormat="false" ht="15" hidden="false" customHeight="false" outlineLevel="0" collapsed="false">
      <c r="B20" s="12" t="s">
        <v>42</v>
      </c>
      <c r="C20" s="13" t="n">
        <f aca="false">COUNTIF(Inventory!$C$2:$C$381,$B20)</f>
        <v>5</v>
      </c>
      <c r="D20" s="13" t="n">
        <f aca="false">COUNTIFS(Inventory!$C$2:$C$381,$B20,Inventory!$J$2:$J$381,"Low stock")+COUNTIFS(Inventory!$C$2:$C$381,$B20,Inventory!$J$2:$J$381,"Out of stock")</f>
        <v>3</v>
      </c>
      <c r="E20" s="13" t="n">
        <f aca="false">SUMIF(Inventory!$C$2:$C$381,$B20,Inventory!$H$2:$H$381)</f>
        <v>8</v>
      </c>
    </row>
    <row r="21" customFormat="false" ht="15" hidden="false" customHeight="false" outlineLevel="0" collapsed="false">
      <c r="B21" s="10" t="s">
        <v>43</v>
      </c>
      <c r="C21" s="11" t="n">
        <f aca="false">COUNTIF(Inventory!$C$2:$C$381,$B21)</f>
        <v>4</v>
      </c>
      <c r="D21" s="11" t="n">
        <f aca="false">COUNTIFS(Inventory!$C$2:$C$381,$B21,Inventory!$J$2:$J$381,"Low stock")+COUNTIFS(Inventory!$C$2:$C$381,$B21,Inventory!$J$2:$J$381,"Out of stock")</f>
        <v>0</v>
      </c>
      <c r="E21" s="11" t="n">
        <f aca="false">SUMIF(Inventory!$C$2:$C$381,$B21,Inventory!$H$2:$H$381)</f>
        <v>31</v>
      </c>
    </row>
    <row r="22" customFormat="false" ht="15" hidden="false" customHeight="false" outlineLevel="0" collapsed="false">
      <c r="B22" s="12" t="s">
        <v>44</v>
      </c>
      <c r="C22" s="13" t="n">
        <f aca="false">COUNTIF(Inventory!$C$2:$C$381,$B22)</f>
        <v>1</v>
      </c>
      <c r="D22" s="13" t="n">
        <f aca="false">COUNTIFS(Inventory!$C$2:$C$381,$B22,Inventory!$J$2:$J$381,"Low stock")+COUNTIFS(Inventory!$C$2:$C$381,$B22,Inventory!$J$2:$J$381,"Out of stock")</f>
        <v>0</v>
      </c>
      <c r="E22" s="13" t="n">
        <f aca="false">SUMIF(Inventory!$C$2:$C$381,$B22,Inventory!$H$2:$H$381)</f>
        <v>5</v>
      </c>
    </row>
    <row r="23" customFormat="false" ht="15" hidden="false" customHeight="false" outlineLevel="0" collapsed="false">
      <c r="B23" s="10" t="s">
        <v>45</v>
      </c>
      <c r="C23" s="11" t="n">
        <f aca="false">COUNTIF(Inventory!$C$2:$C$381,$B23)</f>
        <v>1</v>
      </c>
      <c r="D23" s="11" t="n">
        <f aca="false">COUNTIFS(Inventory!$C$2:$C$381,$B23,Inventory!$J$2:$J$381,"Low stock")+COUNTIFS(Inventory!$C$2:$C$381,$B23,Inventory!$J$2:$J$381,"Out of stock")</f>
        <v>0</v>
      </c>
      <c r="E23" s="11" t="n">
        <f aca="false">SUMIF(Inventory!$C$2:$C$381,$B23,Inventory!$H$2:$H$381)</f>
        <v>2</v>
      </c>
    </row>
    <row r="24" customFormat="false" ht="15" hidden="false" customHeight="false" outlineLevel="0" collapsed="false">
      <c r="B24" s="12" t="s">
        <v>46</v>
      </c>
      <c r="C24" s="13" t="n">
        <f aca="false">COUNTIF(Inventory!$C$2:$C$381,$B24)</f>
        <v>2</v>
      </c>
      <c r="D24" s="13" t="n">
        <f aca="false">COUNTIFS(Inventory!$C$2:$C$381,$B24,Inventory!$J$2:$J$381,"Low stock")+COUNTIFS(Inventory!$C$2:$C$381,$B24,Inventory!$J$2:$J$381,"Out of stock")</f>
        <v>0</v>
      </c>
      <c r="E24" s="13" t="n">
        <f aca="false">SUMIF(Inventory!$C$2:$C$381,$B24,Inventory!$H$2:$H$381)</f>
        <v>14</v>
      </c>
    </row>
    <row r="25" customFormat="false" ht="15" hidden="false" customHeight="false" outlineLevel="0" collapsed="false">
      <c r="B25" s="10" t="s">
        <v>47</v>
      </c>
      <c r="C25" s="11" t="n">
        <f aca="false">COUNTIF(Inventory!$C$2:$C$381,$B25)</f>
        <v>1</v>
      </c>
      <c r="D25" s="11" t="n">
        <f aca="false">COUNTIFS(Inventory!$C$2:$C$381,$B25,Inventory!$J$2:$J$381,"Low stock")+COUNTIFS(Inventory!$C$2:$C$381,$B25,Inventory!$J$2:$J$381,"Out of stock")</f>
        <v>0</v>
      </c>
      <c r="E25" s="11" t="n">
        <f aca="false">SUMIF(Inventory!$C$2:$C$381,$B25,Inventory!$H$2:$H$381)</f>
        <v>8</v>
      </c>
    </row>
    <row r="26" customFormat="false" ht="15" hidden="false" customHeight="false" outlineLevel="0" collapsed="false">
      <c r="B26" s="12" t="s">
        <v>48</v>
      </c>
      <c r="C26" s="13" t="n">
        <f aca="false">COUNTIF(Inventory!$C$2:$C$381,$B26)</f>
        <v>3</v>
      </c>
      <c r="D26" s="13" t="n">
        <f aca="false">COUNTIFS(Inventory!$C$2:$C$381,$B26,Inventory!$J$2:$J$381,"Low stock")+COUNTIFS(Inventory!$C$2:$C$381,$B26,Inventory!$J$2:$J$381,"Out of stock")</f>
        <v>1</v>
      </c>
      <c r="E26" s="13" t="n">
        <f aca="false">SUMIF(Inventory!$C$2:$C$381,$B26,Inventory!$H$2:$H$381)</f>
        <v>3</v>
      </c>
    </row>
    <row r="27" customFormat="false" ht="15" hidden="false" customHeight="false" outlineLevel="0" collapsed="false">
      <c r="B27" s="10" t="s">
        <v>49</v>
      </c>
      <c r="C27" s="11" t="n">
        <f aca="false">COUNTIF(Inventory!$C$2:$C$381,$B27)</f>
        <v>2</v>
      </c>
      <c r="D27" s="11" t="n">
        <f aca="false">COUNTIFS(Inventory!$C$2:$C$381,$B27,Inventory!$J$2:$J$381,"Low stock")+COUNTIFS(Inventory!$C$2:$C$381,$B27,Inventory!$J$2:$J$381,"Out of stock")</f>
        <v>1</v>
      </c>
      <c r="E27" s="11" t="n">
        <f aca="false">SUMIF(Inventory!$C$2:$C$381,$B27,Inventory!$H$2:$H$381)</f>
        <v>7</v>
      </c>
    </row>
    <row r="28" customFormat="false" ht="15" hidden="false" customHeight="false" outlineLevel="0" collapsed="false">
      <c r="B28" s="12" t="s">
        <v>50</v>
      </c>
      <c r="C28" s="13" t="n">
        <f aca="false">COUNTIF(Inventory!$C$2:$C$381,$B28)</f>
        <v>60</v>
      </c>
      <c r="D28" s="13" t="n">
        <f aca="false">COUNTIFS(Inventory!$C$2:$C$381,$B28,Inventory!$J$2:$J$381,"Low stock")+COUNTIFS(Inventory!$C$2:$C$381,$B28,Inventory!$J$2:$J$381,"Out of stock")</f>
        <v>18</v>
      </c>
      <c r="E28" s="13" t="n">
        <f aca="false">SUMIF(Inventory!$C$2:$C$381,$B28,Inventory!$H$2:$H$381)</f>
        <v>921</v>
      </c>
    </row>
    <row r="29" customFormat="false" ht="15" hidden="false" customHeight="false" outlineLevel="0" collapsed="false">
      <c r="B29" s="10" t="s">
        <v>51</v>
      </c>
      <c r="C29" s="11" t="n">
        <f aca="false">COUNTIF(Inventory!$C$2:$C$381,$B29)</f>
        <v>10</v>
      </c>
      <c r="D29" s="11" t="n">
        <f aca="false">COUNTIFS(Inventory!$C$2:$C$381,$B29,Inventory!$J$2:$J$381,"Low stock")+COUNTIFS(Inventory!$C$2:$C$381,$B29,Inventory!$J$2:$J$381,"Out of stock")</f>
        <v>1</v>
      </c>
      <c r="E29" s="11" t="n">
        <f aca="false">SUMIF(Inventory!$C$2:$C$381,$B29,Inventory!$H$2:$H$381)</f>
        <v>747</v>
      </c>
    </row>
    <row r="30" customFormat="false" ht="15" hidden="false" customHeight="false" outlineLevel="0" collapsed="false">
      <c r="B30" s="12" t="s">
        <v>52</v>
      </c>
      <c r="C30" s="13" t="n">
        <f aca="false">COUNTIF(Inventory!$C$2:$C$381,$B30)</f>
        <v>5</v>
      </c>
      <c r="D30" s="13" t="n">
        <f aca="false">COUNTIFS(Inventory!$C$2:$C$381,$B30,Inventory!$J$2:$J$381,"Low stock")+COUNTIFS(Inventory!$C$2:$C$381,$B30,Inventory!$J$2:$J$381,"Out of stock")</f>
        <v>0</v>
      </c>
      <c r="E30" s="13" t="n">
        <f aca="false">SUMIF(Inventory!$C$2:$C$381,$B30,Inventory!$H$2:$H$381)</f>
        <v>25</v>
      </c>
    </row>
    <row r="31" customFormat="false" ht="15" hidden="false" customHeight="false" outlineLevel="0" collapsed="false">
      <c r="B31" s="10" t="s">
        <v>53</v>
      </c>
      <c r="C31" s="11" t="n">
        <f aca="false">COUNTIF(Inventory!$C$2:$C$381,$B31)</f>
        <v>5</v>
      </c>
      <c r="D31" s="11" t="n">
        <f aca="false">COUNTIFS(Inventory!$C$2:$C$381,$B31,Inventory!$J$2:$J$381,"Low stock")+COUNTIFS(Inventory!$C$2:$C$381,$B31,Inventory!$J$2:$J$381,"Out of stock")</f>
        <v>1</v>
      </c>
      <c r="E31" s="11" t="n">
        <f aca="false">SUMIF(Inventory!$C$2:$C$381,$B31,Inventory!$H$2:$H$381)</f>
        <v>10</v>
      </c>
    </row>
    <row r="32" customFormat="false" ht="15" hidden="false" customHeight="false" outlineLevel="0" collapsed="false">
      <c r="B32" s="12" t="s">
        <v>54</v>
      </c>
      <c r="C32" s="13" t="n">
        <f aca="false">COUNTIF(Inventory!$C$2:$C$381,$B32)</f>
        <v>10</v>
      </c>
      <c r="D32" s="13" t="n">
        <f aca="false">COUNTIFS(Inventory!$C$2:$C$381,$B32,Inventory!$J$2:$J$381,"Low stock")+COUNTIFS(Inventory!$C$2:$C$381,$B32,Inventory!$J$2:$J$381,"Out of stock")</f>
        <v>4</v>
      </c>
      <c r="E32" s="13" t="n">
        <f aca="false">SUMIF(Inventory!$C$2:$C$381,$B32,Inventory!$H$2:$H$381)</f>
        <v>189</v>
      </c>
    </row>
    <row r="33" customFormat="false" ht="15" hidden="false" customHeight="false" outlineLevel="0" collapsed="false">
      <c r="B33" s="10" t="s">
        <v>55</v>
      </c>
      <c r="C33" s="11" t="n">
        <f aca="false">COUNTIF(Inventory!$C$2:$C$381,$B33)</f>
        <v>2</v>
      </c>
      <c r="D33" s="11" t="n">
        <f aca="false">COUNTIFS(Inventory!$C$2:$C$381,$B33,Inventory!$J$2:$J$381,"Low stock")+COUNTIFS(Inventory!$C$2:$C$381,$B33,Inventory!$J$2:$J$381,"Out of stock")</f>
        <v>0</v>
      </c>
      <c r="E33" s="11" t="n">
        <f aca="false">SUMIF(Inventory!$C$2:$C$381,$B33,Inventory!$H$2:$H$381)</f>
        <v>0</v>
      </c>
    </row>
    <row r="34" customFormat="false" ht="15" hidden="false" customHeight="false" outlineLevel="0" collapsed="false">
      <c r="B34" s="12" t="s">
        <v>56</v>
      </c>
      <c r="C34" s="13" t="n">
        <f aca="false">COUNTIF(Inventory!$C$2:$C$381,$B34)</f>
        <v>9</v>
      </c>
      <c r="D34" s="13" t="n">
        <f aca="false">COUNTIFS(Inventory!$C$2:$C$381,$B34,Inventory!$J$2:$J$381,"Low stock")+COUNTIFS(Inventory!$C$2:$C$381,$B34,Inventory!$J$2:$J$381,"Out of stock")</f>
        <v>0</v>
      </c>
      <c r="E34" s="13" t="n">
        <f aca="false">SUMIF(Inventory!$C$2:$C$381,$B34,Inventory!$H$2:$H$381)</f>
        <v>26</v>
      </c>
    </row>
    <row r="35" customFormat="false" ht="15" hidden="false" customHeight="false" outlineLevel="0" collapsed="false">
      <c r="B35" s="10" t="s">
        <v>57</v>
      </c>
      <c r="C35" s="11" t="n">
        <f aca="false">COUNTIF(Inventory!$C$2:$C$381,$B35)</f>
        <v>2</v>
      </c>
      <c r="D35" s="11" t="n">
        <f aca="false">COUNTIFS(Inventory!$C$2:$C$381,$B35,Inventory!$J$2:$J$381,"Low stock")+COUNTIFS(Inventory!$C$2:$C$381,$B35,Inventory!$J$2:$J$381,"Out of stock")</f>
        <v>1</v>
      </c>
      <c r="E35" s="11" t="n">
        <f aca="false">SUMIF(Inventory!$C$2:$C$381,$B35,Inventory!$H$2:$H$381)</f>
        <v>0</v>
      </c>
    </row>
    <row r="36" customFormat="false" ht="15" hidden="false" customHeight="false" outlineLevel="0" collapsed="false">
      <c r="B36" s="12" t="s">
        <v>58</v>
      </c>
      <c r="C36" s="13" t="n">
        <f aca="false">COUNTIF(Inventory!$C$2:$C$381,$B36)</f>
        <v>3</v>
      </c>
      <c r="D36" s="13" t="n">
        <f aca="false">COUNTIFS(Inventory!$C$2:$C$381,$B36,Inventory!$J$2:$J$381,"Low stock")+COUNTIFS(Inventory!$C$2:$C$381,$B36,Inventory!$J$2:$J$381,"Out of stock")</f>
        <v>1</v>
      </c>
      <c r="E36" s="13" t="n">
        <f aca="false">SUMIF(Inventory!$C$2:$C$381,$B36,Inventory!$H$2:$H$381)</f>
        <v>6</v>
      </c>
    </row>
    <row r="37" customFormat="false" ht="15" hidden="false" customHeight="false" outlineLevel="0" collapsed="false">
      <c r="B37" s="10" t="s">
        <v>59</v>
      </c>
      <c r="C37" s="11" t="n">
        <f aca="false">COUNTIF(Inventory!$C$2:$C$381,$B37)</f>
        <v>11</v>
      </c>
      <c r="D37" s="11" t="n">
        <f aca="false">COUNTIFS(Inventory!$C$2:$C$381,$B37,Inventory!$J$2:$J$381,"Low stock")+COUNTIFS(Inventory!$C$2:$C$381,$B37,Inventory!$J$2:$J$381,"Out of stock")</f>
        <v>9</v>
      </c>
      <c r="E37" s="11" t="n">
        <f aca="false">SUMIF(Inventory!$C$2:$C$381,$B37,Inventory!$H$2:$H$381)</f>
        <v>9</v>
      </c>
    </row>
    <row r="38" customFormat="false" ht="15" hidden="false" customHeight="false" outlineLevel="0" collapsed="false">
      <c r="B38" s="12" t="s">
        <v>60</v>
      </c>
      <c r="C38" s="13" t="n">
        <f aca="false">COUNTIF(Inventory!$C$2:$C$381,$B38)</f>
        <v>33</v>
      </c>
      <c r="D38" s="13" t="n">
        <f aca="false">COUNTIFS(Inventory!$C$2:$C$381,$B38,Inventory!$J$2:$J$381,"Low stock")+COUNTIFS(Inventory!$C$2:$C$381,$B38,Inventory!$J$2:$J$381,"Out of stock")</f>
        <v>15</v>
      </c>
      <c r="E38" s="13" t="n">
        <f aca="false">SUMIF(Inventory!$C$2:$C$381,$B38,Inventory!$H$2:$H$381)</f>
        <v>153</v>
      </c>
    </row>
    <row r="39" customFormat="false" ht="15" hidden="false" customHeight="false" outlineLevel="0" collapsed="false">
      <c r="B39" s="10" t="s">
        <v>61</v>
      </c>
      <c r="C39" s="11" t="n">
        <f aca="false">COUNTIF(Inventory!$C$2:$C$381,$B39)</f>
        <v>3</v>
      </c>
      <c r="D39" s="11" t="n">
        <f aca="false">COUNTIFS(Inventory!$C$2:$C$381,$B39,Inventory!$J$2:$J$381,"Low stock")+COUNTIFS(Inventory!$C$2:$C$381,$B39,Inventory!$J$2:$J$381,"Out of stock")</f>
        <v>1</v>
      </c>
      <c r="E39" s="11" t="n">
        <f aca="false">SUMIF(Inventory!$C$2:$C$381,$B39,Inventory!$H$2:$H$381)</f>
        <v>4</v>
      </c>
    </row>
    <row r="40" customFormat="false" ht="15" hidden="false" customHeight="false" outlineLevel="0" collapsed="false">
      <c r="B40" s="12" t="s">
        <v>62</v>
      </c>
      <c r="C40" s="13" t="n">
        <f aca="false">COUNTIF(Inventory!$C$2:$C$381,$B40)</f>
        <v>7</v>
      </c>
      <c r="D40" s="13" t="n">
        <f aca="false">COUNTIFS(Inventory!$C$2:$C$381,$B40,Inventory!$J$2:$J$381,"Low stock")+COUNTIFS(Inventory!$C$2:$C$381,$B40,Inventory!$J$2:$J$381,"Out of stock")</f>
        <v>2</v>
      </c>
      <c r="E40" s="13" t="n">
        <f aca="false">SUMIF(Inventory!$C$2:$C$381,$B40,Inventory!$H$2:$H$381)</f>
        <v>255</v>
      </c>
    </row>
    <row r="41" customFormat="false" ht="15" hidden="false" customHeight="false" outlineLevel="0" collapsed="false">
      <c r="B41" s="10" t="s">
        <v>63</v>
      </c>
      <c r="C41" s="11" t="n">
        <f aca="false">COUNTIF(Inventory!$C$2:$C$381,$B41)</f>
        <v>2</v>
      </c>
      <c r="D41" s="11" t="n">
        <f aca="false">COUNTIFS(Inventory!$C$2:$C$381,$B41,Inventory!$J$2:$J$381,"Low stock")+COUNTIFS(Inventory!$C$2:$C$381,$B41,Inventory!$J$2:$J$381,"Out of stock")</f>
        <v>0</v>
      </c>
      <c r="E41" s="11" t="n">
        <f aca="false">SUMIF(Inventory!$C$2:$C$381,$B41,Inventory!$H$2:$H$381)</f>
        <v>13</v>
      </c>
    </row>
    <row r="42" customFormat="false" ht="15" hidden="false" customHeight="false" outlineLevel="0" collapsed="false">
      <c r="B42" s="12" t="s">
        <v>64</v>
      </c>
      <c r="C42" s="13" t="n">
        <f aca="false">COUNTIF(Inventory!$C$2:$C$381,$B42)</f>
        <v>10</v>
      </c>
      <c r="D42" s="13" t="n">
        <f aca="false">COUNTIFS(Inventory!$C$2:$C$381,$B42,Inventory!$J$2:$J$381,"Low stock")+COUNTIFS(Inventory!$C$2:$C$381,$B42,Inventory!$J$2:$J$381,"Out of stock")</f>
        <v>2</v>
      </c>
      <c r="E42" s="13" t="n">
        <f aca="false">SUMIF(Inventory!$C$2:$C$381,$B42,Inventory!$H$2:$H$381)</f>
        <v>266</v>
      </c>
    </row>
    <row r="43" customFormat="false" ht="15" hidden="false" customHeight="false" outlineLevel="0" collapsed="false">
      <c r="B43" s="10" t="s">
        <v>65</v>
      </c>
      <c r="C43" s="11" t="n">
        <f aca="false">COUNTIF(Inventory!$C$2:$C$381,$B43)</f>
        <v>8</v>
      </c>
      <c r="D43" s="11" t="n">
        <f aca="false">COUNTIFS(Inventory!$C$2:$C$381,$B43,Inventory!$J$2:$J$381,"Low stock")+COUNTIFS(Inventory!$C$2:$C$381,$B43,Inventory!$J$2:$J$381,"Out of stock")</f>
        <v>2</v>
      </c>
      <c r="E43" s="11" t="n">
        <f aca="false">SUMIF(Inventory!$C$2:$C$381,$B43,Inventory!$H$2:$H$381)</f>
        <v>37</v>
      </c>
    </row>
    <row r="44" customFormat="false" ht="15" hidden="false" customHeight="false" outlineLevel="0" collapsed="false">
      <c r="B44" s="12" t="s">
        <v>66</v>
      </c>
      <c r="C44" s="13" t="n">
        <f aca="false">COUNTIF(Inventory!$C$2:$C$381,$B44)</f>
        <v>3</v>
      </c>
      <c r="D44" s="13" t="n">
        <f aca="false">COUNTIFS(Inventory!$C$2:$C$381,$B44,Inventory!$J$2:$J$381,"Low stock")+COUNTIFS(Inventory!$C$2:$C$381,$B44,Inventory!$J$2:$J$381,"Out of stock")</f>
        <v>0</v>
      </c>
      <c r="E44" s="13" t="n">
        <f aca="false">SUMIF(Inventory!$C$2:$C$381,$B44,Inventory!$H$2:$H$381)</f>
        <v>0</v>
      </c>
    </row>
    <row r="45" customFormat="false" ht="15" hidden="false" customHeight="false" outlineLevel="0" collapsed="false">
      <c r="B45" s="10" t="s">
        <v>67</v>
      </c>
      <c r="C45" s="11" t="n">
        <f aca="false">COUNTIF(Inventory!$C$2:$C$381,$B45)</f>
        <v>5</v>
      </c>
      <c r="D45" s="11" t="n">
        <f aca="false">COUNTIFS(Inventory!$C$2:$C$381,$B45,Inventory!$J$2:$J$381,"Low stock")+COUNTIFS(Inventory!$C$2:$C$381,$B45,Inventory!$J$2:$J$381,"Out of stock")</f>
        <v>0</v>
      </c>
      <c r="E45" s="11" t="n">
        <f aca="false">SUMIF(Inventory!$C$2:$C$381,$B45,Inventory!$H$2:$H$381)</f>
        <v>59</v>
      </c>
    </row>
    <row r="46" customFormat="false" ht="15" hidden="false" customHeight="false" outlineLevel="0" collapsed="false">
      <c r="B46" s="12" t="s">
        <v>68</v>
      </c>
      <c r="C46" s="13" t="n">
        <f aca="false">COUNTIF(Inventory!$C$2:$C$381,$B46)</f>
        <v>45</v>
      </c>
      <c r="D46" s="13" t="n">
        <f aca="false">COUNTIFS(Inventory!$C$2:$C$381,$B46,Inventory!$J$2:$J$381,"Low stock")+COUNTIFS(Inventory!$C$2:$C$381,$B46,Inventory!$J$2:$J$381,"Out of stock")</f>
        <v>12</v>
      </c>
      <c r="E46" s="13" t="n">
        <f aca="false">SUMIF(Inventory!$C$2:$C$381,$B46,Inventory!$H$2:$H$381)</f>
        <v>2033</v>
      </c>
    </row>
    <row r="47" customFormat="false" ht="15" hidden="false" customHeight="false" outlineLevel="0" collapsed="false">
      <c r="B47" s="10" t="s">
        <v>69</v>
      </c>
      <c r="C47" s="11" t="n">
        <f aca="false">COUNTIF(Inventory!$C$2:$C$381,$B47)</f>
        <v>29</v>
      </c>
      <c r="D47" s="11" t="n">
        <f aca="false">COUNTIFS(Inventory!$C$2:$C$381,$B47,Inventory!$J$2:$J$381,"Low stock")+COUNTIFS(Inventory!$C$2:$C$381,$B47,Inventory!$J$2:$J$381,"Out of stock")</f>
        <v>13</v>
      </c>
      <c r="E47" s="11" t="n">
        <f aca="false">SUMIF(Inventory!$C$2:$C$381,$B47,Inventory!$H$2:$H$381)</f>
        <v>141</v>
      </c>
    </row>
    <row r="48" customFormat="false" ht="15" hidden="false" customHeight="false" outlineLevel="0" collapsed="false">
      <c r="B48" s="12" t="s">
        <v>70</v>
      </c>
      <c r="C48" s="13" t="n">
        <f aca="false">COUNTIF(Inventory!$C$2:$C$381,$B48)</f>
        <v>7</v>
      </c>
      <c r="D48" s="13" t="n">
        <f aca="false">COUNTIFS(Inventory!$C$2:$C$381,$B48,Inventory!$J$2:$J$381,"Low stock")+COUNTIFS(Inventory!$C$2:$C$381,$B48,Inventory!$J$2:$J$381,"Out of stock")</f>
        <v>0</v>
      </c>
      <c r="E48" s="13" t="n">
        <f aca="false">SUMIF(Inventory!$C$2:$C$381,$B48,Inventory!$H$2:$H$381)</f>
        <v>0</v>
      </c>
    </row>
    <row r="49" customFormat="false" ht="15" hidden="false" customHeight="false" outlineLevel="0" collapsed="false">
      <c r="B49" s="10" t="s">
        <v>71</v>
      </c>
      <c r="C49" s="11" t="n">
        <f aca="false">COUNTIF(Inventory!$C$2:$C$381,$B49)</f>
        <v>1</v>
      </c>
      <c r="D49" s="11" t="n">
        <f aca="false">COUNTIFS(Inventory!$C$2:$C$381,$B49,Inventory!$J$2:$J$381,"Low stock")+COUNTIFS(Inventory!$C$2:$C$381,$B49,Inventory!$J$2:$J$381,"Out of stock")</f>
        <v>0</v>
      </c>
      <c r="E49" s="11" t="n">
        <f aca="false">SUMIF(Inventory!$C$2:$C$381,$B49,Inventory!$H$2:$H$381)</f>
        <v>0</v>
      </c>
    </row>
    <row r="50" customFormat="false" ht="15" hidden="false" customHeight="false" outlineLevel="0" collapsed="false">
      <c r="B50" s="12" t="s">
        <v>72</v>
      </c>
      <c r="C50" s="13" t="n">
        <f aca="false">COUNTIF(Inventory!$C$2:$C$381,$B50)</f>
        <v>8</v>
      </c>
      <c r="D50" s="13" t="n">
        <f aca="false">COUNTIFS(Inventory!$C$2:$C$381,$B50,Inventory!$J$2:$J$381,"Low stock")+COUNTIFS(Inventory!$C$2:$C$381,$B50,Inventory!$J$2:$J$381,"Out of stock")</f>
        <v>0</v>
      </c>
      <c r="E50" s="13" t="n">
        <f aca="false">SUMIF(Inventory!$C$2:$C$381,$B50,Inventory!$H$2:$H$381)</f>
        <v>83</v>
      </c>
    </row>
    <row r="51" customFormat="false" ht="15" hidden="false" customHeight="false" outlineLevel="0" collapsed="false">
      <c r="B51" s="10" t="s">
        <v>73</v>
      </c>
      <c r="C51" s="11" t="n">
        <f aca="false">COUNTIF(Inventory!$C$2:$C$381,$B51)</f>
        <v>3</v>
      </c>
      <c r="D51" s="11" t="n">
        <f aca="false">COUNTIFS(Inventory!$C$2:$C$381,$B51,Inventory!$J$2:$J$381,"Low stock")+COUNTIFS(Inventory!$C$2:$C$381,$B51,Inventory!$J$2:$J$381,"Out of stock")</f>
        <v>0</v>
      </c>
      <c r="E51" s="11" t="n">
        <f aca="false">SUMIF(Inventory!$C$2:$C$381,$B51,Inventory!$H$2:$H$381)</f>
        <v>0</v>
      </c>
    </row>
    <row r="52" customFormat="false" ht="15" hidden="false" customHeight="false" outlineLevel="0" collapsed="false">
      <c r="B52" s="12" t="s">
        <v>74</v>
      </c>
      <c r="C52" s="13" t="n">
        <f aca="false">COUNTIF(Inventory!$C$2:$C$381,$B52)</f>
        <v>2</v>
      </c>
      <c r="D52" s="13" t="n">
        <f aca="false">COUNTIFS(Inventory!$C$2:$C$381,$B52,Inventory!$J$2:$J$381,"Low stock")+COUNTIFS(Inventory!$C$2:$C$381,$B52,Inventory!$J$2:$J$381,"Out of stock")</f>
        <v>1</v>
      </c>
      <c r="E52" s="13" t="n">
        <f aca="false">SUMIF(Inventory!$C$2:$C$381,$B52,Inventory!$H$2:$H$381)</f>
        <v>7</v>
      </c>
    </row>
    <row r="53" customFormat="false" ht="15" hidden="false" customHeight="false" outlineLevel="0" collapsed="false">
      <c r="B53" s="10" t="s">
        <v>75</v>
      </c>
      <c r="C53" s="11" t="n">
        <f aca="false">COUNTIF(Inventory!$C$2:$C$381,$B53)</f>
        <v>4</v>
      </c>
      <c r="D53" s="11" t="n">
        <f aca="false">COUNTIFS(Inventory!$C$2:$C$381,$B53,Inventory!$J$2:$J$381,"Low stock")+COUNTIFS(Inventory!$C$2:$C$381,$B53,Inventory!$J$2:$J$381,"Out of stock")</f>
        <v>0</v>
      </c>
      <c r="E53" s="11" t="n">
        <f aca="false">SUMIF(Inventory!$C$2:$C$381,$B53,Inventory!$H$2:$H$381)</f>
        <v>0</v>
      </c>
    </row>
  </sheetData>
  <mergeCells count="2">
    <mergeCell ref="B2:H2"/>
    <mergeCell ref="G17:L17"/>
  </mergeCells>
  <conditionalFormatting sqref="B11:E53">
    <cfRule type="expression" priority="2" aboveAverage="0" equalAverage="0" bottom="0" percent="0" rank="0" text="" dxfId="0">
      <formula>$D11&gt;0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46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</cols>
  <sheetData>
    <row r="2" customFormat="false" ht="30" hidden="false" customHeight="true" outlineLevel="0" collapsed="false">
      <c r="B2" s="1" t="s">
        <v>76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77</v>
      </c>
      <c r="C4" s="15" t="s">
        <v>78</v>
      </c>
      <c r="D4" s="15"/>
      <c r="E4" s="15"/>
      <c r="F4" s="2" t="s">
        <v>79</v>
      </c>
    </row>
    <row r="6" customFormat="false" ht="15" hidden="false" customHeight="false" outlineLevel="0" collapsed="false">
      <c r="B6" s="6" t="s">
        <v>80</v>
      </c>
      <c r="C6" s="2" t="str">
        <f aca="false">IF($C$4="","type something above",COUNTIF(Inventory!$M$2:$M$381,1)&amp;" found")</f>
        <v>46 found</v>
      </c>
    </row>
    <row r="7" customFormat="false" ht="15" hidden="false" customHeight="false" outlineLevel="0" collapsed="false">
      <c r="B7" s="16" t="s">
        <v>81</v>
      </c>
      <c r="C7" s="16" t="s">
        <v>82</v>
      </c>
      <c r="D7" s="16" t="s">
        <v>16</v>
      </c>
      <c r="E7" s="16" t="s">
        <v>83</v>
      </c>
      <c r="F7" s="16" t="s">
        <v>84</v>
      </c>
      <c r="G7" s="16" t="s">
        <v>85</v>
      </c>
    </row>
    <row r="8" customFormat="false" ht="15" hidden="false" customHeight="false" outlineLevel="0" collapsed="false">
      <c r="B8" s="5" t="n">
        <v>1</v>
      </c>
      <c r="C8" s="10" t="str">
        <f aca="false">IFERROR(INDEX(Inventory!$B$2:$B$381,MATCH($B8,Inventory!$N$2:$N$381,0)),"")</f>
        <v>330 Ω Resistor+</v>
      </c>
      <c r="D8" s="10" t="str">
        <f aca="false">IFERROR(INDEX(Inventory!$C$2:$C$381,MATCH($B8,Inventory!$N$2:$N$381,0)),"")</f>
        <v>Resistor</v>
      </c>
      <c r="E8" s="17" t="str">
        <f aca="false">IFERROR(INDEX(Inventory!$E$2:$E$381,MATCH($B8,Inventory!$N$2:$N$381,0)),"")</f>
        <v>A1</v>
      </c>
      <c r="F8" s="11" t="n">
        <f aca="false">IFERROR(INDEX(Inventory!$H$2:$H$381,MATCH($B8,Inventory!$N$2:$N$381,0)),"")</f>
        <v>10</v>
      </c>
      <c r="G8" s="11" t="str">
        <f aca="false">IFERROR(INDEX(Inventory!$J$2:$J$381,MATCH($B8,Inventory!$N$2:$N$381,0)),"")</f>
        <v>In stock</v>
      </c>
    </row>
    <row r="9" customFormat="false" ht="15" hidden="false" customHeight="false" outlineLevel="0" collapsed="false">
      <c r="B9" s="5" t="n">
        <v>2</v>
      </c>
      <c r="C9" s="10" t="str">
        <f aca="false">IFERROR(INDEX(Inventory!$B$2:$B$381,MATCH($B9,Inventory!$N$2:$N$381,0)),"")</f>
        <v>70 Ω Resistor+</v>
      </c>
      <c r="D9" s="10" t="str">
        <f aca="false">IFERROR(INDEX(Inventory!$C$2:$C$381,MATCH($B9,Inventory!$N$2:$N$381,0)),"")</f>
        <v>Resistor</v>
      </c>
      <c r="E9" s="17" t="str">
        <f aca="false">IFERROR(INDEX(Inventory!$E$2:$E$381,MATCH($B9,Inventory!$N$2:$N$381,0)),"")</f>
        <v>A1</v>
      </c>
      <c r="F9" s="11" t="n">
        <f aca="false">IFERROR(INDEX(Inventory!$H$2:$H$381,MATCH($B9,Inventory!$N$2:$N$381,0)),"")</f>
        <v>5</v>
      </c>
      <c r="G9" s="11" t="str">
        <f aca="false">IFERROR(INDEX(Inventory!$J$2:$J$381,MATCH($B9,Inventory!$N$2:$N$381,0)),"")</f>
        <v>Low stock</v>
      </c>
    </row>
    <row r="10" customFormat="false" ht="15" hidden="false" customHeight="false" outlineLevel="0" collapsed="false">
      <c r="B10" s="5" t="n">
        <v>3</v>
      </c>
      <c r="C10" s="10" t="str">
        <f aca="false">IFERROR(INDEX(Inventory!$B$2:$B$381,MATCH($B10,Inventory!$N$2:$N$381,0)),"")</f>
        <v>68 Ω Resistor+</v>
      </c>
      <c r="D10" s="10" t="str">
        <f aca="false">IFERROR(INDEX(Inventory!$C$2:$C$381,MATCH($B10,Inventory!$N$2:$N$381,0)),"")</f>
        <v>Resistor</v>
      </c>
      <c r="E10" s="17" t="str">
        <f aca="false">IFERROR(INDEX(Inventory!$E$2:$E$381,MATCH($B10,Inventory!$N$2:$N$381,0)),"")</f>
        <v>A1</v>
      </c>
      <c r="F10" s="11" t="n">
        <f aca="false">IFERROR(INDEX(Inventory!$H$2:$H$381,MATCH($B10,Inventory!$N$2:$N$381,0)),"")</f>
        <v>150</v>
      </c>
      <c r="G10" s="11" t="str">
        <f aca="false">IFERROR(INDEX(Inventory!$J$2:$J$381,MATCH($B10,Inventory!$N$2:$N$381,0)),"")</f>
        <v>In stock</v>
      </c>
    </row>
    <row r="11" customFormat="false" ht="15" hidden="false" customHeight="false" outlineLevel="0" collapsed="false">
      <c r="B11" s="5" t="n">
        <v>4</v>
      </c>
      <c r="C11" s="10" t="str">
        <f aca="false">IFERROR(INDEX(Inventory!$B$2:$B$381,MATCH($B11,Inventory!$N$2:$N$381,0)),"")</f>
        <v>100 Ω Resistor+</v>
      </c>
      <c r="D11" s="10" t="str">
        <f aca="false">IFERROR(INDEX(Inventory!$C$2:$C$381,MATCH($B11,Inventory!$N$2:$N$381,0)),"")</f>
        <v>Resistor</v>
      </c>
      <c r="E11" s="17" t="str">
        <f aca="false">IFERROR(INDEX(Inventory!$E$2:$E$381,MATCH($B11,Inventory!$N$2:$N$381,0)),"")</f>
        <v>A1</v>
      </c>
      <c r="F11" s="11" t="n">
        <f aca="false">IFERROR(INDEX(Inventory!$H$2:$H$381,MATCH($B11,Inventory!$N$2:$N$381,0)),"")</f>
        <v>25</v>
      </c>
      <c r="G11" s="11" t="str">
        <f aca="false">IFERROR(INDEX(Inventory!$J$2:$J$381,MATCH($B11,Inventory!$N$2:$N$381,0)),"")</f>
        <v>In stock</v>
      </c>
    </row>
    <row r="12" customFormat="false" ht="15" hidden="false" customHeight="false" outlineLevel="0" collapsed="false">
      <c r="B12" s="5" t="n">
        <v>5</v>
      </c>
      <c r="C12" s="10" t="str">
        <f aca="false">IFERROR(INDEX(Inventory!$B$2:$B$381,MATCH($B12,Inventory!$N$2:$N$381,0)),"")</f>
        <v>5.2 Ω Resistor+</v>
      </c>
      <c r="D12" s="10" t="str">
        <f aca="false">IFERROR(INDEX(Inventory!$C$2:$C$381,MATCH($B12,Inventory!$N$2:$N$381,0)),"")</f>
        <v>Resistor</v>
      </c>
      <c r="E12" s="17" t="str">
        <f aca="false">IFERROR(INDEX(Inventory!$E$2:$E$381,MATCH($B12,Inventory!$N$2:$N$381,0)),"")</f>
        <v>A1</v>
      </c>
      <c r="F12" s="11" t="n">
        <f aca="false">IFERROR(INDEX(Inventory!$H$2:$H$381,MATCH($B12,Inventory!$N$2:$N$381,0)),"")</f>
        <v>20</v>
      </c>
      <c r="G12" s="11" t="str">
        <f aca="false">IFERROR(INDEX(Inventory!$J$2:$J$381,MATCH($B12,Inventory!$N$2:$N$381,0)),"")</f>
        <v>In stock</v>
      </c>
    </row>
    <row r="13" customFormat="false" ht="15" hidden="false" customHeight="false" outlineLevel="0" collapsed="false">
      <c r="B13" s="5" t="n">
        <v>6</v>
      </c>
      <c r="C13" s="10" t="str">
        <f aca="false">IFERROR(INDEX(Inventory!$B$2:$B$381,MATCH($B13,Inventory!$N$2:$N$381,0)),"")</f>
        <v>150K Ω Resistor+</v>
      </c>
      <c r="D13" s="10" t="str">
        <f aca="false">IFERROR(INDEX(Inventory!$C$2:$C$381,MATCH($B13,Inventory!$N$2:$N$381,0)),"")</f>
        <v>Resistor</v>
      </c>
      <c r="E13" s="17" t="str">
        <f aca="false">IFERROR(INDEX(Inventory!$E$2:$E$381,MATCH($B13,Inventory!$N$2:$N$381,0)),"")</f>
        <v>A1</v>
      </c>
      <c r="F13" s="11" t="n">
        <f aca="false">IFERROR(INDEX(Inventory!$H$2:$H$381,MATCH($B13,Inventory!$N$2:$N$381,0)),"")</f>
        <v>10</v>
      </c>
      <c r="G13" s="11" t="str">
        <f aca="false">IFERROR(INDEX(Inventory!$J$2:$J$381,MATCH($B13,Inventory!$N$2:$N$381,0)),"")</f>
        <v>In stock</v>
      </c>
    </row>
    <row r="14" customFormat="false" ht="15" hidden="false" customHeight="false" outlineLevel="0" collapsed="false">
      <c r="B14" s="5" t="n">
        <v>7</v>
      </c>
      <c r="C14" s="10" t="str">
        <f aca="false">IFERROR(INDEX(Inventory!$B$2:$B$381,MATCH($B14,Inventory!$N$2:$N$381,0)),"")</f>
        <v>15K Ω Resistor+</v>
      </c>
      <c r="D14" s="10" t="str">
        <f aca="false">IFERROR(INDEX(Inventory!$C$2:$C$381,MATCH($B14,Inventory!$N$2:$N$381,0)),"")</f>
        <v>Resistor</v>
      </c>
      <c r="E14" s="17" t="str">
        <f aca="false">IFERROR(INDEX(Inventory!$E$2:$E$381,MATCH($B14,Inventory!$N$2:$N$381,0)),"")</f>
        <v>A1</v>
      </c>
      <c r="F14" s="11" t="n">
        <f aca="false">IFERROR(INDEX(Inventory!$H$2:$H$381,MATCH($B14,Inventory!$N$2:$N$381,0)),"")</f>
        <v>15</v>
      </c>
      <c r="G14" s="11" t="str">
        <f aca="false">IFERROR(INDEX(Inventory!$J$2:$J$381,MATCH($B14,Inventory!$N$2:$N$381,0)),"")</f>
        <v>In stock</v>
      </c>
    </row>
    <row r="15" customFormat="false" ht="15" hidden="false" customHeight="false" outlineLevel="0" collapsed="false">
      <c r="B15" s="5" t="n">
        <v>8</v>
      </c>
      <c r="C15" s="10" t="str">
        <f aca="false">IFERROR(INDEX(Inventory!$B$2:$B$381,MATCH($B15,Inventory!$N$2:$N$381,0)),"")</f>
        <v>220 Ω Resistor+</v>
      </c>
      <c r="D15" s="10" t="str">
        <f aca="false">IFERROR(INDEX(Inventory!$C$2:$C$381,MATCH($B15,Inventory!$N$2:$N$381,0)),"")</f>
        <v>Resistor</v>
      </c>
      <c r="E15" s="17" t="str">
        <f aca="false">IFERROR(INDEX(Inventory!$E$2:$E$381,MATCH($B15,Inventory!$N$2:$N$381,0)),"")</f>
        <v>A2</v>
      </c>
      <c r="F15" s="11" t="n">
        <f aca="false">IFERROR(INDEX(Inventory!$H$2:$H$381,MATCH($B15,Inventory!$N$2:$N$381,0)),"")</f>
        <v>50</v>
      </c>
      <c r="G15" s="11" t="str">
        <f aca="false">IFERROR(INDEX(Inventory!$J$2:$J$381,MATCH($B15,Inventory!$N$2:$N$381,0)),"")</f>
        <v>In stock</v>
      </c>
    </row>
    <row r="16" customFormat="false" ht="15" hidden="false" customHeight="false" outlineLevel="0" collapsed="false">
      <c r="B16" s="5" t="n">
        <v>9</v>
      </c>
      <c r="C16" s="10" t="str">
        <f aca="false">IFERROR(INDEX(Inventory!$B$2:$B$381,MATCH($B16,Inventory!$N$2:$N$381,0)),"")</f>
        <v>10K Ω Resistor+</v>
      </c>
      <c r="D16" s="10" t="str">
        <f aca="false">IFERROR(INDEX(Inventory!$C$2:$C$381,MATCH($B16,Inventory!$N$2:$N$381,0)),"")</f>
        <v>Resistor</v>
      </c>
      <c r="E16" s="17" t="str">
        <f aca="false">IFERROR(INDEX(Inventory!$E$2:$E$381,MATCH($B16,Inventory!$N$2:$N$381,0)),"")</f>
        <v>A2</v>
      </c>
      <c r="F16" s="11" t="n">
        <f aca="false">IFERROR(INDEX(Inventory!$H$2:$H$381,MATCH($B16,Inventory!$N$2:$N$381,0)),"")</f>
        <v>50</v>
      </c>
      <c r="G16" s="11" t="str">
        <f aca="false">IFERROR(INDEX(Inventory!$J$2:$J$381,MATCH($B16,Inventory!$N$2:$N$381,0)),"")</f>
        <v>In stock</v>
      </c>
    </row>
    <row r="17" customFormat="false" ht="15" hidden="false" customHeight="false" outlineLevel="0" collapsed="false">
      <c r="B17" s="5" t="n">
        <v>10</v>
      </c>
      <c r="C17" s="10" t="str">
        <f aca="false">IFERROR(INDEX(Inventory!$B$2:$B$381,MATCH($B17,Inventory!$N$2:$N$381,0)),"")</f>
        <v>330K Ω Resistor+</v>
      </c>
      <c r="D17" s="10" t="str">
        <f aca="false">IFERROR(INDEX(Inventory!$C$2:$C$381,MATCH($B17,Inventory!$N$2:$N$381,0)),"")</f>
        <v>Resistor</v>
      </c>
      <c r="E17" s="17" t="str">
        <f aca="false">IFERROR(INDEX(Inventory!$E$2:$E$381,MATCH($B17,Inventory!$N$2:$N$381,0)),"")</f>
        <v>A2</v>
      </c>
      <c r="F17" s="11" t="n">
        <f aca="false">IFERROR(INDEX(Inventory!$H$2:$H$381,MATCH($B17,Inventory!$N$2:$N$381,0)),"")</f>
        <v>25</v>
      </c>
      <c r="G17" s="11" t="str">
        <f aca="false">IFERROR(INDEX(Inventory!$J$2:$J$381,MATCH($B17,Inventory!$N$2:$N$381,0)),"")</f>
        <v>In stock</v>
      </c>
    </row>
    <row r="18" customFormat="false" ht="15" hidden="false" customHeight="false" outlineLevel="0" collapsed="false">
      <c r="B18" s="5" t="n">
        <v>11</v>
      </c>
      <c r="C18" s="10" t="str">
        <f aca="false">IFERROR(INDEX(Inventory!$B$2:$B$381,MATCH($B18,Inventory!$N$2:$N$381,0)),"")</f>
        <v>470 Ω Resistor+</v>
      </c>
      <c r="D18" s="10" t="str">
        <f aca="false">IFERROR(INDEX(Inventory!$C$2:$C$381,MATCH($B18,Inventory!$N$2:$N$381,0)),"")</f>
        <v>Resistor</v>
      </c>
      <c r="E18" s="17" t="str">
        <f aca="false">IFERROR(INDEX(Inventory!$E$2:$E$381,MATCH($B18,Inventory!$N$2:$N$381,0)),"")</f>
        <v>A2</v>
      </c>
      <c r="F18" s="11" t="n">
        <f aca="false">IFERROR(INDEX(Inventory!$H$2:$H$381,MATCH($B18,Inventory!$N$2:$N$381,0)),"")</f>
        <v>10</v>
      </c>
      <c r="G18" s="11" t="str">
        <f aca="false">IFERROR(INDEX(Inventory!$J$2:$J$381,MATCH($B18,Inventory!$N$2:$N$381,0)),"")</f>
        <v>In stock</v>
      </c>
    </row>
    <row r="19" customFormat="false" ht="15" hidden="false" customHeight="false" outlineLevel="0" collapsed="false">
      <c r="B19" s="5" t="n">
        <v>12</v>
      </c>
      <c r="C19" s="10" t="str">
        <f aca="false">IFERROR(INDEX(Inventory!$B$2:$B$381,MATCH($B19,Inventory!$N$2:$N$381,0)),"")</f>
        <v>4.7K Ω Resistor+</v>
      </c>
      <c r="D19" s="10" t="str">
        <f aca="false">IFERROR(INDEX(Inventory!$C$2:$C$381,MATCH($B19,Inventory!$N$2:$N$381,0)),"")</f>
        <v>Resistor</v>
      </c>
      <c r="E19" s="17" t="str">
        <f aca="false">IFERROR(INDEX(Inventory!$E$2:$E$381,MATCH($B19,Inventory!$N$2:$N$381,0)),"")</f>
        <v>A2</v>
      </c>
      <c r="F19" s="11" t="n">
        <f aca="false">IFERROR(INDEX(Inventory!$H$2:$H$381,MATCH($B19,Inventory!$N$2:$N$381,0)),"")</f>
        <v>30</v>
      </c>
      <c r="G19" s="11" t="str">
        <f aca="false">IFERROR(INDEX(Inventory!$J$2:$J$381,MATCH($B19,Inventory!$N$2:$N$381,0)),"")</f>
        <v>In stock</v>
      </c>
    </row>
    <row r="20" customFormat="false" ht="15" hidden="false" customHeight="false" outlineLevel="0" collapsed="false">
      <c r="B20" s="5" t="n">
        <v>13</v>
      </c>
      <c r="C20" s="10" t="str">
        <f aca="false">IFERROR(INDEX(Inventory!$B$2:$B$381,MATCH($B20,Inventory!$N$2:$N$381,0)),"")</f>
        <v>1K Ω Resistor+</v>
      </c>
      <c r="D20" s="10" t="str">
        <f aca="false">IFERROR(INDEX(Inventory!$C$2:$C$381,MATCH($B20,Inventory!$N$2:$N$381,0)),"")</f>
        <v>Resistor</v>
      </c>
      <c r="E20" s="17" t="str">
        <f aca="false">IFERROR(INDEX(Inventory!$E$2:$E$381,MATCH($B20,Inventory!$N$2:$N$381,0)),"")</f>
        <v>A2</v>
      </c>
      <c r="F20" s="11" t="n">
        <f aca="false">IFERROR(INDEX(Inventory!$H$2:$H$381,MATCH($B20,Inventory!$N$2:$N$381,0)),"")</f>
        <v>50</v>
      </c>
      <c r="G20" s="11" t="str">
        <f aca="false">IFERROR(INDEX(Inventory!$J$2:$J$381,MATCH($B20,Inventory!$N$2:$N$381,0)),"")</f>
        <v>In stock</v>
      </c>
    </row>
    <row r="21" customFormat="false" ht="15" hidden="false" customHeight="false" outlineLevel="0" collapsed="false">
      <c r="B21" s="5" t="n">
        <v>14</v>
      </c>
      <c r="C21" s="10" t="str">
        <f aca="false">IFERROR(INDEX(Inventory!$B$2:$B$381,MATCH($B21,Inventory!$N$2:$N$381,0)),"")</f>
        <v>LDR</v>
      </c>
      <c r="D21" s="10" t="str">
        <f aca="false">IFERROR(INDEX(Inventory!$C$2:$C$381,MATCH($B21,Inventory!$N$2:$N$381,0)),"")</f>
        <v>Resistor</v>
      </c>
      <c r="E21" s="17" t="str">
        <f aca="false">IFERROR(INDEX(Inventory!$E$2:$E$381,MATCH($B21,Inventory!$N$2:$N$381,0)),"")</f>
        <v>A4</v>
      </c>
      <c r="F21" s="11" t="n">
        <f aca="false">IFERROR(INDEX(Inventory!$H$2:$H$381,MATCH($B21,Inventory!$N$2:$N$381,0)),"")</f>
        <v>25</v>
      </c>
      <c r="G21" s="11" t="str">
        <f aca="false">IFERROR(INDEX(Inventory!$J$2:$J$381,MATCH($B21,Inventory!$N$2:$N$381,0)),"")</f>
        <v>In stock</v>
      </c>
    </row>
    <row r="22" customFormat="false" ht="15" hidden="false" customHeight="false" outlineLevel="0" collapsed="false">
      <c r="B22" s="5" t="n">
        <v>15</v>
      </c>
      <c r="C22" s="10" t="str">
        <f aca="false">IFERROR(INDEX(Inventory!$B$2:$B$381,MATCH($B22,Inventory!$N$2:$N$381,0)),"")</f>
        <v>200K Ω Resistor+</v>
      </c>
      <c r="D22" s="10" t="str">
        <f aca="false">IFERROR(INDEX(Inventory!$C$2:$C$381,MATCH($B22,Inventory!$N$2:$N$381,0)),"")</f>
        <v>Resistor</v>
      </c>
      <c r="E22" s="17" t="str">
        <f aca="false">IFERROR(INDEX(Inventory!$E$2:$E$381,MATCH($B22,Inventory!$N$2:$N$381,0)),"")</f>
        <v>A7</v>
      </c>
      <c r="F22" s="11" t="n">
        <f aca="false">IFERROR(INDEX(Inventory!$H$2:$H$381,MATCH($B22,Inventory!$N$2:$N$381,0)),"")</f>
        <v>50</v>
      </c>
      <c r="G22" s="11" t="str">
        <f aca="false">IFERROR(INDEX(Inventory!$J$2:$J$381,MATCH($B22,Inventory!$N$2:$N$381,0)),"")</f>
        <v>In stock</v>
      </c>
    </row>
    <row r="23" customFormat="false" ht="15" hidden="false" customHeight="false" outlineLevel="0" collapsed="false">
      <c r="B23" s="5" t="n">
        <v>16</v>
      </c>
      <c r="C23" s="10" t="str">
        <f aca="false">IFERROR(INDEX(Inventory!$B$2:$B$381,MATCH($B23,Inventory!$N$2:$N$381,0)),"")</f>
        <v>23K Ω Resistor+</v>
      </c>
      <c r="D23" s="10" t="str">
        <f aca="false">IFERROR(INDEX(Inventory!$C$2:$C$381,MATCH($B23,Inventory!$N$2:$N$381,0)),"")</f>
        <v>Resistor</v>
      </c>
      <c r="E23" s="17" t="str">
        <f aca="false">IFERROR(INDEX(Inventory!$E$2:$E$381,MATCH($B23,Inventory!$N$2:$N$381,0)),"")</f>
        <v>A7</v>
      </c>
      <c r="F23" s="11" t="n">
        <f aca="false">IFERROR(INDEX(Inventory!$H$2:$H$381,MATCH($B23,Inventory!$N$2:$N$381,0)),"")</f>
        <v>100</v>
      </c>
      <c r="G23" s="11" t="str">
        <f aca="false">IFERROR(INDEX(Inventory!$J$2:$J$381,MATCH($B23,Inventory!$N$2:$N$381,0)),"")</f>
        <v>In stock</v>
      </c>
    </row>
    <row r="24" customFormat="false" ht="15" hidden="false" customHeight="false" outlineLevel="0" collapsed="false">
      <c r="B24" s="5" t="n">
        <v>17</v>
      </c>
      <c r="C24" s="10" t="str">
        <f aca="false">IFERROR(INDEX(Inventory!$B$2:$B$381,MATCH($B24,Inventory!$N$2:$N$381,0)),"")</f>
        <v>2.2M Ω Resistor+</v>
      </c>
      <c r="D24" s="10" t="str">
        <f aca="false">IFERROR(INDEX(Inventory!$C$2:$C$381,MATCH($B24,Inventory!$N$2:$N$381,0)),"")</f>
        <v>Resistor</v>
      </c>
      <c r="E24" s="17" t="str">
        <f aca="false">IFERROR(INDEX(Inventory!$E$2:$E$381,MATCH($B24,Inventory!$N$2:$N$381,0)),"")</f>
        <v>A7</v>
      </c>
      <c r="F24" s="11" t="n">
        <f aca="false">IFERROR(INDEX(Inventory!$H$2:$H$381,MATCH($B24,Inventory!$N$2:$N$381,0)),"")</f>
        <v>50</v>
      </c>
      <c r="G24" s="11" t="str">
        <f aca="false">IFERROR(INDEX(Inventory!$J$2:$J$381,MATCH($B24,Inventory!$N$2:$N$381,0)),"")</f>
        <v>In stock</v>
      </c>
    </row>
    <row r="25" customFormat="false" ht="15" hidden="false" customHeight="false" outlineLevel="0" collapsed="false">
      <c r="B25" s="5" t="n">
        <v>18</v>
      </c>
      <c r="C25" s="10" t="str">
        <f aca="false">IFERROR(INDEX(Inventory!$B$2:$B$381,MATCH($B25,Inventory!$N$2:$N$381,0)),"")</f>
        <v>25 Ω Resistor+</v>
      </c>
      <c r="D25" s="10" t="str">
        <f aca="false">IFERROR(INDEX(Inventory!$C$2:$C$381,MATCH($B25,Inventory!$N$2:$N$381,0)),"")</f>
        <v>Resistor</v>
      </c>
      <c r="E25" s="17" t="str">
        <f aca="false">IFERROR(INDEX(Inventory!$E$2:$E$381,MATCH($B25,Inventory!$N$2:$N$381,0)),"")</f>
        <v>A7</v>
      </c>
      <c r="F25" s="11" t="n">
        <f aca="false">IFERROR(INDEX(Inventory!$H$2:$H$381,MATCH($B25,Inventory!$N$2:$N$381,0)),"")</f>
        <v>25</v>
      </c>
      <c r="G25" s="11" t="str">
        <f aca="false">IFERROR(INDEX(Inventory!$J$2:$J$381,MATCH($B25,Inventory!$N$2:$N$381,0)),"")</f>
        <v>In stock</v>
      </c>
    </row>
    <row r="26" customFormat="false" ht="15" hidden="false" customHeight="false" outlineLevel="0" collapsed="false">
      <c r="B26" s="5" t="n">
        <v>19</v>
      </c>
      <c r="C26" s="10" t="str">
        <f aca="false">IFERROR(INDEX(Inventory!$B$2:$B$381,MATCH($B26,Inventory!$N$2:$N$381,0)),"")</f>
        <v>15 Ω Resistor+</v>
      </c>
      <c r="D26" s="10" t="str">
        <f aca="false">IFERROR(INDEX(Inventory!$C$2:$C$381,MATCH($B26,Inventory!$N$2:$N$381,0)),"")</f>
        <v>Resistor</v>
      </c>
      <c r="E26" s="17" t="str">
        <f aca="false">IFERROR(INDEX(Inventory!$E$2:$E$381,MATCH($B26,Inventory!$N$2:$N$381,0)),"")</f>
        <v>A7</v>
      </c>
      <c r="F26" s="11" t="n">
        <f aca="false">IFERROR(INDEX(Inventory!$H$2:$H$381,MATCH($B26,Inventory!$N$2:$N$381,0)),"")</f>
        <v>20</v>
      </c>
      <c r="G26" s="11" t="str">
        <f aca="false">IFERROR(INDEX(Inventory!$J$2:$J$381,MATCH($B26,Inventory!$N$2:$N$381,0)),"")</f>
        <v>In stock</v>
      </c>
    </row>
    <row r="27" customFormat="false" ht="15" hidden="false" customHeight="false" outlineLevel="0" collapsed="false">
      <c r="B27" s="5" t="n">
        <v>20</v>
      </c>
      <c r="C27" s="10" t="str">
        <f aca="false">IFERROR(INDEX(Inventory!$B$2:$B$381,MATCH($B27,Inventory!$N$2:$N$381,0)),"")</f>
        <v>A 103 J Resister Network</v>
      </c>
      <c r="D27" s="10" t="str">
        <f aca="false">IFERROR(INDEX(Inventory!$C$2:$C$381,MATCH($B27,Inventory!$N$2:$N$381,0)),"")</f>
        <v>Resistor</v>
      </c>
      <c r="E27" s="17" t="str">
        <f aca="false">IFERROR(INDEX(Inventory!$E$2:$E$381,MATCH($B27,Inventory!$N$2:$N$381,0)),"")</f>
        <v>C8</v>
      </c>
      <c r="F27" s="11" t="n">
        <f aca="false">IFERROR(INDEX(Inventory!$H$2:$H$381,MATCH($B27,Inventory!$N$2:$N$381,0)),"")</f>
        <v>154</v>
      </c>
      <c r="G27" s="11" t="str">
        <f aca="false">IFERROR(INDEX(Inventory!$J$2:$J$381,MATCH($B27,Inventory!$N$2:$N$381,0)),"")</f>
        <v>In stock</v>
      </c>
    </row>
    <row r="28" customFormat="false" ht="15" hidden="false" customHeight="false" outlineLevel="0" collapsed="false">
      <c r="B28" s="5" t="n">
        <v>21</v>
      </c>
      <c r="C28" s="10" t="str">
        <f aca="false">IFERROR(INDEX(Inventory!$B$2:$B$381,MATCH($B28,Inventory!$N$2:$N$381,0)),"")</f>
        <v>0 Ωs 62.5mW 0402 1 Resistor</v>
      </c>
      <c r="D28" s="10" t="str">
        <f aca="false">IFERROR(INDEX(Inventory!$C$2:$C$381,MATCH($B28,Inventory!$N$2:$N$381,0)),"")</f>
        <v>Resistor</v>
      </c>
      <c r="E28" s="17" t="str">
        <f aca="false">IFERROR(INDEX(Inventory!$E$2:$E$381,MATCH($B28,Inventory!$N$2:$N$381,0)),"")</f>
        <v>SMD BOX</v>
      </c>
      <c r="F28" s="11" t="n">
        <f aca="false">IFERROR(INDEX(Inventory!$H$2:$H$381,MATCH($B28,Inventory!$N$2:$N$381,0)),"")</f>
        <v>15</v>
      </c>
      <c r="G28" s="11" t="str">
        <f aca="false">IFERROR(INDEX(Inventory!$J$2:$J$381,MATCH($B28,Inventory!$N$2:$N$381,0)),"")</f>
        <v>In stock</v>
      </c>
    </row>
    <row r="29" customFormat="false" ht="15" hidden="false" customHeight="false" outlineLevel="0" collapsed="false">
      <c r="B29" s="5" t="n">
        <v>22</v>
      </c>
      <c r="C29" s="10" t="str">
        <f aca="false">IFERROR(INDEX(Inventory!$B$2:$B$381,MATCH($B29,Inventory!$N$2:$N$381,0)),"")</f>
        <v>NCP176AMX330TCG (IC REG LINER 3.3V 500MA 6-XDFN)</v>
      </c>
      <c r="D29" s="10" t="str">
        <f aca="false">IFERROR(INDEX(Inventory!$C$2:$C$381,MATCH($B29,Inventory!$N$2:$N$381,0)),"")</f>
        <v>Resistor</v>
      </c>
      <c r="E29" s="17" t="str">
        <f aca="false">IFERROR(INDEX(Inventory!$E$2:$E$381,MATCH($B29,Inventory!$N$2:$N$381,0)),"")</f>
        <v>SMD BOX</v>
      </c>
      <c r="F29" s="11" t="n">
        <f aca="false">IFERROR(INDEX(Inventory!$H$2:$H$381,MATCH($B29,Inventory!$N$2:$N$381,0)),"")</f>
        <v>0</v>
      </c>
      <c r="G29" s="11" t="str">
        <f aca="false">IFERROR(INDEX(Inventory!$J$2:$J$381,MATCH($B29,Inventory!$N$2:$N$381,0)),"")</f>
        <v>Out of stock</v>
      </c>
    </row>
    <row r="30" customFormat="false" ht="15" hidden="false" customHeight="false" outlineLevel="0" collapsed="false">
      <c r="B30" s="5" t="n">
        <v>23</v>
      </c>
      <c r="C30" s="10" t="str">
        <f aca="false">IFERROR(INDEX(Inventory!$B$2:$B$381,MATCH($B30,Inventory!$N$2:$N$381,0)),"")</f>
        <v>LQG15HS3N9B02D ( Fixed IND 3.9NH 750MA 0.14Ω SM)</v>
      </c>
      <c r="D30" s="10" t="str">
        <f aca="false">IFERROR(INDEX(Inventory!$C$2:$C$381,MATCH($B30,Inventory!$N$2:$N$381,0)),"")</f>
        <v>Resistor</v>
      </c>
      <c r="E30" s="17" t="str">
        <f aca="false">IFERROR(INDEX(Inventory!$E$2:$E$381,MATCH($B30,Inventory!$N$2:$N$381,0)),"")</f>
        <v>SMD BOX</v>
      </c>
      <c r="F30" s="11" t="n">
        <f aca="false">IFERROR(INDEX(Inventory!$H$2:$H$381,MATCH($B30,Inventory!$N$2:$N$381,0)),"")</f>
        <v>5</v>
      </c>
      <c r="G30" s="11" t="str">
        <f aca="false">IFERROR(INDEX(Inventory!$J$2:$J$381,MATCH($B30,Inventory!$N$2:$N$381,0)),"")</f>
        <v>Low stock</v>
      </c>
    </row>
    <row r="31" customFormat="false" ht="15" hidden="false" customHeight="false" outlineLevel="0" collapsed="false">
      <c r="B31" s="5" t="n">
        <v>24</v>
      </c>
      <c r="C31" s="10" t="str">
        <f aca="false">IFERROR(INDEX(Inventory!$B$2:$B$381,MATCH($B31,Inventory!$N$2:$N$381,0)),"")</f>
        <v>5.6 k0hms 62.5mW 040</v>
      </c>
      <c r="D31" s="10" t="str">
        <f aca="false">IFERROR(INDEX(Inventory!$C$2:$C$381,MATCH($B31,Inventory!$N$2:$N$381,0)),"")</f>
        <v>Resistor</v>
      </c>
      <c r="E31" s="17" t="str">
        <f aca="false">IFERROR(INDEX(Inventory!$E$2:$E$381,MATCH($B31,Inventory!$N$2:$N$381,0)),"")</f>
        <v>SMD BOX</v>
      </c>
      <c r="F31" s="11" t="n">
        <f aca="false">IFERROR(INDEX(Inventory!$H$2:$H$381,MATCH($B31,Inventory!$N$2:$N$381,0)),"")</f>
        <v>5</v>
      </c>
      <c r="G31" s="11" t="str">
        <f aca="false">IFERROR(INDEX(Inventory!$J$2:$J$381,MATCH($B31,Inventory!$N$2:$N$381,0)),"")</f>
        <v>Low stock</v>
      </c>
    </row>
    <row r="32" customFormat="false" ht="15" hidden="false" customHeight="false" outlineLevel="0" collapsed="false">
      <c r="B32" s="5" t="n">
        <v>25</v>
      </c>
      <c r="C32" s="10" t="str">
        <f aca="false">IFERROR(INDEX(Inventory!$B$2:$B$381,MATCH($B32,Inventory!$N$2:$N$381,0)),"")</f>
        <v>RES 5.6K Ω 1% 1/16 W 0402</v>
      </c>
      <c r="D32" s="10" t="str">
        <f aca="false">IFERROR(INDEX(Inventory!$C$2:$C$381,MATCH($B32,Inventory!$N$2:$N$381,0)),"")</f>
        <v>Resistor</v>
      </c>
      <c r="E32" s="17" t="str">
        <f aca="false">IFERROR(INDEX(Inventory!$E$2:$E$381,MATCH($B32,Inventory!$N$2:$N$381,0)),"")</f>
        <v>SMD BOX</v>
      </c>
      <c r="F32" s="11" t="n">
        <f aca="false">IFERROR(INDEX(Inventory!$H$2:$H$381,MATCH($B32,Inventory!$N$2:$N$381,0)),"")</f>
        <v>14</v>
      </c>
      <c r="G32" s="11" t="str">
        <f aca="false">IFERROR(INDEX(Inventory!$J$2:$J$381,MATCH($B32,Inventory!$N$2:$N$381,0)),"")</f>
        <v>In stock</v>
      </c>
    </row>
    <row r="33" customFormat="false" ht="15" hidden="false" customHeight="false" outlineLevel="0" collapsed="false">
      <c r="B33" s="5" t="n">
        <v>26</v>
      </c>
      <c r="C33" s="10" t="str">
        <f aca="false">IFERROR(INDEX(Inventory!$B$2:$B$381,MATCH($B33,Inventory!$N$2:$N$381,0)),"")</f>
        <v>RES 110K Ω 1% 1/16W 0402</v>
      </c>
      <c r="D33" s="10" t="str">
        <f aca="false">IFERROR(INDEX(Inventory!$C$2:$C$381,MATCH($B33,Inventory!$N$2:$N$381,0)),"")</f>
        <v>Resistor</v>
      </c>
      <c r="E33" s="17" t="str">
        <f aca="false">IFERROR(INDEX(Inventory!$E$2:$E$381,MATCH($B33,Inventory!$N$2:$N$381,0)),"")</f>
        <v>SMD BOX</v>
      </c>
      <c r="F33" s="11" t="n">
        <f aca="false">IFERROR(INDEX(Inventory!$H$2:$H$381,MATCH($B33,Inventory!$N$2:$N$381,0)),"")</f>
        <v>20</v>
      </c>
      <c r="G33" s="11" t="str">
        <f aca="false">IFERROR(INDEX(Inventory!$J$2:$J$381,MATCH($B33,Inventory!$N$2:$N$381,0)),"")</f>
        <v>In stock</v>
      </c>
    </row>
    <row r="34" customFormat="false" ht="15" hidden="false" customHeight="false" outlineLevel="0" collapsed="false">
      <c r="B34" s="5" t="n">
        <v>27</v>
      </c>
      <c r="C34" s="10" t="str">
        <f aca="false">IFERROR(INDEX(Inventory!$B$2:$B$381,MATCH($B34,Inventory!$N$2:$N$381,0)),"")</f>
        <v>100k Ωs 62.5 mW 040</v>
      </c>
      <c r="D34" s="10" t="str">
        <f aca="false">IFERROR(INDEX(Inventory!$C$2:$C$381,MATCH($B34,Inventory!$N$2:$N$381,0)),"")</f>
        <v>Resistor</v>
      </c>
      <c r="E34" s="17" t="str">
        <f aca="false">IFERROR(INDEX(Inventory!$E$2:$E$381,MATCH($B34,Inventory!$N$2:$N$381,0)),"")</f>
        <v>SMD BOX</v>
      </c>
      <c r="F34" s="11" t="n">
        <f aca="false">IFERROR(INDEX(Inventory!$H$2:$H$381,MATCH($B34,Inventory!$N$2:$N$381,0)),"")</f>
        <v>0</v>
      </c>
      <c r="G34" s="11" t="str">
        <f aca="false">IFERROR(INDEX(Inventory!$J$2:$J$381,MATCH($B34,Inventory!$N$2:$N$381,0)),"")</f>
        <v>Out of stock</v>
      </c>
    </row>
    <row r="35" customFormat="false" ht="15" hidden="false" customHeight="false" outlineLevel="0" collapsed="false">
      <c r="B35" s="5" t="n">
        <v>28</v>
      </c>
      <c r="C35" s="10" t="str">
        <f aca="false">IFERROR(INDEX(Inventory!$B$2:$B$381,MATCH($B35,Inventory!$N$2:$N$381,0)),"")</f>
        <v>RES 0 ΩS Jumper 1/16 W 0402</v>
      </c>
      <c r="D35" s="10" t="str">
        <f aca="false">IFERROR(INDEX(Inventory!$C$2:$C$381,MATCH($B35,Inventory!$N$2:$N$381,0)),"")</f>
        <v>Resistor</v>
      </c>
      <c r="E35" s="17" t="str">
        <f aca="false">IFERROR(INDEX(Inventory!$E$2:$E$381,MATCH($B35,Inventory!$N$2:$N$381,0)),"")</f>
        <v>SMD BOX</v>
      </c>
      <c r="F35" s="11" t="n">
        <f aca="false">IFERROR(INDEX(Inventory!$H$2:$H$381,MATCH($B35,Inventory!$N$2:$N$381,0)),"")</f>
        <v>4</v>
      </c>
      <c r="G35" s="11" t="str">
        <f aca="false">IFERROR(INDEX(Inventory!$J$2:$J$381,MATCH($B35,Inventory!$N$2:$N$381,0)),"")</f>
        <v>Low stock</v>
      </c>
    </row>
    <row r="36" customFormat="false" ht="15" hidden="false" customHeight="false" outlineLevel="0" collapsed="false">
      <c r="B36" s="5" t="n">
        <v>29</v>
      </c>
      <c r="C36" s="10" t="str">
        <f aca="false">IFERROR(INDEX(Inventory!$B$2:$B$381,MATCH($B36,Inventory!$N$2:$N$381,0)),"")</f>
        <v>500 Ω Resistor+</v>
      </c>
      <c r="D36" s="10" t="str">
        <f aca="false">IFERROR(INDEX(Inventory!$C$2:$C$381,MATCH($B36,Inventory!$N$2:$N$381,0)),"")</f>
        <v>Resistor</v>
      </c>
      <c r="E36" s="17" t="str">
        <f aca="false">IFERROR(INDEX(Inventory!$E$2:$E$381,MATCH($B36,Inventory!$N$2:$N$381,0)),"")</f>
        <v>MIXED RESISTOR BOX</v>
      </c>
      <c r="F36" s="11" t="n">
        <f aca="false">IFERROR(INDEX(Inventory!$H$2:$H$381,MATCH($B36,Inventory!$N$2:$N$381,0)),"")</f>
        <v>5</v>
      </c>
      <c r="G36" s="11" t="str">
        <f aca="false">IFERROR(INDEX(Inventory!$J$2:$J$381,MATCH($B36,Inventory!$N$2:$N$381,0)),"")</f>
        <v>Low stock</v>
      </c>
    </row>
    <row r="37" customFormat="false" ht="15" hidden="false" customHeight="false" outlineLevel="0" collapsed="false">
      <c r="B37" s="5" t="n">
        <v>30</v>
      </c>
      <c r="C37" s="10" t="str">
        <f aca="false">IFERROR(INDEX(Inventory!$B$2:$B$381,MATCH($B37,Inventory!$N$2:$N$381,0)),"")</f>
        <v>22K Ω Resistor+</v>
      </c>
      <c r="D37" s="10" t="str">
        <f aca="false">IFERROR(INDEX(Inventory!$C$2:$C$381,MATCH($B37,Inventory!$N$2:$N$381,0)),"")</f>
        <v>Resistor</v>
      </c>
      <c r="E37" s="17" t="str">
        <f aca="false">IFERROR(INDEX(Inventory!$E$2:$E$381,MATCH($B37,Inventory!$N$2:$N$381,0)),"")</f>
        <v>MIXED RESISTOR BOX</v>
      </c>
      <c r="F37" s="11" t="n">
        <f aca="false">IFERROR(INDEX(Inventory!$H$2:$H$381,MATCH($B37,Inventory!$N$2:$N$381,0)),"")</f>
        <v>10</v>
      </c>
      <c r="G37" s="11" t="str">
        <f aca="false">IFERROR(INDEX(Inventory!$J$2:$J$381,MATCH($B37,Inventory!$N$2:$N$381,0)),"")</f>
        <v>In stock</v>
      </c>
    </row>
    <row r="38" customFormat="false" ht="15" hidden="false" customHeight="false" outlineLevel="0" collapsed="false">
      <c r="B38" s="5" t="n">
        <v>31</v>
      </c>
      <c r="C38" s="10" t="str">
        <f aca="false">IFERROR(INDEX(Inventory!$B$2:$B$381,MATCH($B38,Inventory!$N$2:$N$381,0)),"")</f>
        <v>5K Ω Resistor+</v>
      </c>
      <c r="D38" s="10" t="str">
        <f aca="false">IFERROR(INDEX(Inventory!$C$2:$C$381,MATCH($B38,Inventory!$N$2:$N$381,0)),"")</f>
        <v>Resistor</v>
      </c>
      <c r="E38" s="17" t="str">
        <f aca="false">IFERROR(INDEX(Inventory!$E$2:$E$381,MATCH($B38,Inventory!$N$2:$N$381,0)),"")</f>
        <v>MIXED RESISTOR BOX</v>
      </c>
      <c r="F38" s="11" t="n">
        <f aca="false">IFERROR(INDEX(Inventory!$H$2:$H$381,MATCH($B38,Inventory!$N$2:$N$381,0)),"")</f>
        <v>3</v>
      </c>
      <c r="G38" s="11" t="str">
        <f aca="false">IFERROR(INDEX(Inventory!$J$2:$J$381,MATCH($B38,Inventory!$N$2:$N$381,0)),"")</f>
        <v>Low stock</v>
      </c>
    </row>
    <row r="39" customFormat="false" ht="15" hidden="false" customHeight="false" outlineLevel="0" collapsed="false">
      <c r="B39" s="5" t="n">
        <v>32</v>
      </c>
      <c r="C39" s="10" t="str">
        <f aca="false">IFERROR(INDEX(Inventory!$B$2:$B$381,MATCH($B39,Inventory!$N$2:$N$381,0)),"")</f>
        <v>1.7K Ω Resistor+</v>
      </c>
      <c r="D39" s="10" t="str">
        <f aca="false">IFERROR(INDEX(Inventory!$C$2:$C$381,MATCH($B39,Inventory!$N$2:$N$381,0)),"")</f>
        <v>Resistor</v>
      </c>
      <c r="E39" s="17" t="str">
        <f aca="false">IFERROR(INDEX(Inventory!$E$2:$E$381,MATCH($B39,Inventory!$N$2:$N$381,0)),"")</f>
        <v>MIXED RESISTOR BOX</v>
      </c>
      <c r="F39" s="11" t="n">
        <f aca="false">IFERROR(INDEX(Inventory!$H$2:$H$381,MATCH($B39,Inventory!$N$2:$N$381,0)),"")</f>
        <v>3</v>
      </c>
      <c r="G39" s="11" t="str">
        <f aca="false">IFERROR(INDEX(Inventory!$J$2:$J$381,MATCH($B39,Inventory!$N$2:$N$381,0)),"")</f>
        <v>Low stock</v>
      </c>
    </row>
    <row r="40" customFormat="false" ht="15" hidden="false" customHeight="false" outlineLevel="0" collapsed="false">
      <c r="B40" s="5" t="n">
        <v>33</v>
      </c>
      <c r="C40" s="10" t="str">
        <f aca="false">IFERROR(INDEX(Inventory!$B$2:$B$381,MATCH($B40,Inventory!$N$2:$N$381,0)),"")</f>
        <v>390 Ω Resistor+</v>
      </c>
      <c r="D40" s="10" t="str">
        <f aca="false">IFERROR(INDEX(Inventory!$C$2:$C$381,MATCH($B40,Inventory!$N$2:$N$381,0)),"")</f>
        <v>Resistor</v>
      </c>
      <c r="E40" s="17" t="str">
        <f aca="false">IFERROR(INDEX(Inventory!$E$2:$E$381,MATCH($B40,Inventory!$N$2:$N$381,0)),"")</f>
        <v>MIXED RESISTOR BOX</v>
      </c>
      <c r="F40" s="11" t="n">
        <f aca="false">IFERROR(INDEX(Inventory!$H$2:$H$381,MATCH($B40,Inventory!$N$2:$N$381,0)),"")</f>
        <v>10</v>
      </c>
      <c r="G40" s="11" t="str">
        <f aca="false">IFERROR(INDEX(Inventory!$J$2:$J$381,MATCH($B40,Inventory!$N$2:$N$381,0)),"")</f>
        <v>In stock</v>
      </c>
    </row>
    <row r="41" customFormat="false" ht="15" hidden="false" customHeight="false" outlineLevel="0" collapsed="false">
      <c r="B41" s="5" t="n">
        <v>34</v>
      </c>
      <c r="C41" s="10" t="str">
        <f aca="false">IFERROR(INDEX(Inventory!$B$2:$B$381,MATCH($B41,Inventory!$N$2:$N$381,0)),"")</f>
        <v>47 Ω Resistor+</v>
      </c>
      <c r="D41" s="10" t="str">
        <f aca="false">IFERROR(INDEX(Inventory!$C$2:$C$381,MATCH($B41,Inventory!$N$2:$N$381,0)),"")</f>
        <v>Resistor</v>
      </c>
      <c r="E41" s="17" t="str">
        <f aca="false">IFERROR(INDEX(Inventory!$E$2:$E$381,MATCH($B41,Inventory!$N$2:$N$381,0)),"")</f>
        <v>MIXED RESISTOR BOX</v>
      </c>
      <c r="F41" s="11" t="n">
        <f aca="false">IFERROR(INDEX(Inventory!$H$2:$H$381,MATCH($B41,Inventory!$N$2:$N$381,0)),"")</f>
        <v>10</v>
      </c>
      <c r="G41" s="11" t="str">
        <f aca="false">IFERROR(INDEX(Inventory!$J$2:$J$381,MATCH($B41,Inventory!$N$2:$N$381,0)),"")</f>
        <v>In stock</v>
      </c>
    </row>
    <row r="42" customFormat="false" ht="15" hidden="false" customHeight="false" outlineLevel="0" collapsed="false">
      <c r="B42" s="5" t="n">
        <v>35</v>
      </c>
      <c r="C42" s="10" t="str">
        <f aca="false">IFERROR(INDEX(Inventory!$B$2:$B$381,MATCH($B42,Inventory!$N$2:$N$381,0)),"")</f>
        <v>150K Ω Resistor+</v>
      </c>
      <c r="D42" s="10" t="str">
        <f aca="false">IFERROR(INDEX(Inventory!$C$2:$C$381,MATCH($B42,Inventory!$N$2:$N$381,0)),"")</f>
        <v>Resistor</v>
      </c>
      <c r="E42" s="17" t="str">
        <f aca="false">IFERROR(INDEX(Inventory!$E$2:$E$381,MATCH($B42,Inventory!$N$2:$N$381,0)),"")</f>
        <v>MIXED RESISTOR BOX</v>
      </c>
      <c r="F42" s="11" t="n">
        <f aca="false">IFERROR(INDEX(Inventory!$H$2:$H$381,MATCH($B42,Inventory!$N$2:$N$381,0)),"")</f>
        <v>10</v>
      </c>
      <c r="G42" s="11" t="str">
        <f aca="false">IFERROR(INDEX(Inventory!$J$2:$J$381,MATCH($B42,Inventory!$N$2:$N$381,0)),"")</f>
        <v>In stock</v>
      </c>
    </row>
    <row r="43" customFormat="false" ht="15" hidden="false" customHeight="false" outlineLevel="0" collapsed="false">
      <c r="B43" s="5" t="n">
        <v>36</v>
      </c>
      <c r="C43" s="10" t="str">
        <f aca="false">IFERROR(INDEX(Inventory!$B$2:$B$381,MATCH($B43,Inventory!$N$2:$N$381,0)),"")</f>
        <v>120K Ω Resistor+</v>
      </c>
      <c r="D43" s="10" t="str">
        <f aca="false">IFERROR(INDEX(Inventory!$C$2:$C$381,MATCH($B43,Inventory!$N$2:$N$381,0)),"")</f>
        <v>Resistor</v>
      </c>
      <c r="E43" s="17" t="str">
        <f aca="false">IFERROR(INDEX(Inventory!$E$2:$E$381,MATCH($B43,Inventory!$N$2:$N$381,0)),"")</f>
        <v>MIXED RESISTOR BOX</v>
      </c>
      <c r="F43" s="11" t="n">
        <f aca="false">IFERROR(INDEX(Inventory!$H$2:$H$381,MATCH($B43,Inventory!$N$2:$N$381,0)),"")</f>
        <v>10</v>
      </c>
      <c r="G43" s="11" t="str">
        <f aca="false">IFERROR(INDEX(Inventory!$J$2:$J$381,MATCH($B43,Inventory!$N$2:$N$381,0)),"")</f>
        <v>In stock</v>
      </c>
    </row>
    <row r="44" customFormat="false" ht="15" hidden="false" customHeight="false" outlineLevel="0" collapsed="false">
      <c r="B44" s="5" t="n">
        <v>37</v>
      </c>
      <c r="C44" s="10" t="str">
        <f aca="false">IFERROR(INDEX(Inventory!$B$2:$B$381,MATCH($B44,Inventory!$N$2:$N$381,0)),"")</f>
        <v>470K Ω Resistor+</v>
      </c>
      <c r="D44" s="10" t="str">
        <f aca="false">IFERROR(INDEX(Inventory!$C$2:$C$381,MATCH($B44,Inventory!$N$2:$N$381,0)),"")</f>
        <v>Resistor</v>
      </c>
      <c r="E44" s="17" t="str">
        <f aca="false">IFERROR(INDEX(Inventory!$E$2:$E$381,MATCH($B44,Inventory!$N$2:$N$381,0)),"")</f>
        <v>MIXED RESISTOR BOX</v>
      </c>
      <c r="F44" s="11" t="n">
        <f aca="false">IFERROR(INDEX(Inventory!$H$2:$H$381,MATCH($B44,Inventory!$N$2:$N$381,0)),"")</f>
        <v>10</v>
      </c>
      <c r="G44" s="11" t="str">
        <f aca="false">IFERROR(INDEX(Inventory!$J$2:$J$381,MATCH($B44,Inventory!$N$2:$N$381,0)),"")</f>
        <v>In stock</v>
      </c>
    </row>
    <row r="45" customFormat="false" ht="15" hidden="false" customHeight="false" outlineLevel="0" collapsed="false">
      <c r="B45" s="5" t="n">
        <v>38</v>
      </c>
      <c r="C45" s="10" t="str">
        <f aca="false">IFERROR(INDEX(Inventory!$B$2:$B$381,MATCH($B45,Inventory!$N$2:$N$381,0)),"")</f>
        <v>39 Ω Resistor+</v>
      </c>
      <c r="D45" s="10" t="str">
        <f aca="false">IFERROR(INDEX(Inventory!$C$2:$C$381,MATCH($B45,Inventory!$N$2:$N$381,0)),"")</f>
        <v>Resistor</v>
      </c>
      <c r="E45" s="17" t="str">
        <f aca="false">IFERROR(INDEX(Inventory!$E$2:$E$381,MATCH($B45,Inventory!$N$2:$N$381,0)),"")</f>
        <v>MIXED RESISTOR BOX</v>
      </c>
      <c r="F45" s="11" t="n">
        <f aca="false">IFERROR(INDEX(Inventory!$H$2:$H$381,MATCH($B45,Inventory!$N$2:$N$381,0)),"")</f>
        <v>5</v>
      </c>
      <c r="G45" s="11" t="str">
        <f aca="false">IFERROR(INDEX(Inventory!$J$2:$J$381,MATCH($B45,Inventory!$N$2:$N$381,0)),"")</f>
        <v>Low stock</v>
      </c>
    </row>
    <row r="46" customFormat="false" ht="15" hidden="false" customHeight="false" outlineLevel="0" collapsed="false">
      <c r="B46" s="5" t="n">
        <v>39</v>
      </c>
      <c r="C46" s="10" t="str">
        <f aca="false">IFERROR(INDEX(Inventory!$B$2:$B$381,MATCH($B46,Inventory!$N$2:$N$381,0)),"")</f>
        <v>15K Ω Resistor+</v>
      </c>
      <c r="D46" s="10" t="str">
        <f aca="false">IFERROR(INDEX(Inventory!$C$2:$C$381,MATCH($B46,Inventory!$N$2:$N$381,0)),"")</f>
        <v>Resistor</v>
      </c>
      <c r="E46" s="17" t="str">
        <f aca="false">IFERROR(INDEX(Inventory!$E$2:$E$381,MATCH($B46,Inventory!$N$2:$N$381,0)),"")</f>
        <v>MIXED RESISTOR BOX</v>
      </c>
      <c r="F46" s="11" t="n">
        <f aca="false">IFERROR(INDEX(Inventory!$H$2:$H$381,MATCH($B46,Inventory!$N$2:$N$381,0)),"")</f>
        <v>10</v>
      </c>
      <c r="G46" s="11" t="str">
        <f aca="false">IFERROR(INDEX(Inventory!$J$2:$J$381,MATCH($B46,Inventory!$N$2:$N$381,0)),"")</f>
        <v>In stock</v>
      </c>
    </row>
    <row r="47" customFormat="false" ht="15" hidden="false" customHeight="false" outlineLevel="0" collapsed="false">
      <c r="B47" s="5" t="n">
        <v>40</v>
      </c>
      <c r="C47" s="10" t="str">
        <f aca="false">IFERROR(INDEX(Inventory!$B$2:$B$381,MATCH($B47,Inventory!$N$2:$N$381,0)),"")</f>
        <v>55K Ω Resistor+</v>
      </c>
      <c r="D47" s="10" t="str">
        <f aca="false">IFERROR(INDEX(Inventory!$C$2:$C$381,MATCH($B47,Inventory!$N$2:$N$381,0)),"")</f>
        <v>Resistor</v>
      </c>
      <c r="E47" s="17" t="str">
        <f aca="false">IFERROR(INDEX(Inventory!$E$2:$E$381,MATCH($B47,Inventory!$N$2:$N$381,0)),"")</f>
        <v>MIXED RESISTOR BOX</v>
      </c>
      <c r="F47" s="11" t="n">
        <f aca="false">IFERROR(INDEX(Inventory!$H$2:$H$381,MATCH($B47,Inventory!$N$2:$N$381,0)),"")</f>
        <v>5</v>
      </c>
      <c r="G47" s="11" t="str">
        <f aca="false">IFERROR(INDEX(Inventory!$J$2:$J$381,MATCH($B47,Inventory!$N$2:$N$381,0)),"")</f>
        <v>Low stock</v>
      </c>
    </row>
  </sheetData>
  <mergeCells count="2">
    <mergeCell ref="B2:G2"/>
    <mergeCell ref="C4:E4"/>
  </mergeCells>
  <conditionalFormatting sqref="C8:G47">
    <cfRule type="expression" priority="2" aboveAverage="0" equalAverage="0" bottom="0" percent="0" rank="0" text="" dxfId="1">
      <formula>$G8="In stock"</formula>
    </cfRule>
    <cfRule type="expression" priority="3" aboveAverage="0" equalAverage="0" bottom="0" percent="0" rank="0" text="" dxfId="0">
      <formula>$G8="Low stock"</formula>
    </cfRule>
    <cfRule type="expression" priority="4" aboveAverage="0" equalAverage="0" bottom="0" percent="0" rank="0" text="" dxfId="2">
      <formula>$G8="Out of stock"</formula>
    </cfRule>
    <cfRule type="expression" priority="5" aboveAverage="0" equalAverage="0" bottom="0" percent="0" rank="0" text="" dxfId="3">
      <formula>$G8="Not counted"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46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14"/>
  </cols>
  <sheetData>
    <row r="2" customFormat="false" ht="30" hidden="false" customHeight="true" outlineLevel="0" collapsed="false">
      <c r="B2" s="1" t="s">
        <v>86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87</v>
      </c>
    </row>
    <row r="5" customFormat="false" ht="15" hidden="false" customHeight="false" outlineLevel="0" collapsed="false">
      <c r="B5" s="16" t="s">
        <v>81</v>
      </c>
      <c r="C5" s="16" t="s">
        <v>82</v>
      </c>
      <c r="D5" s="16" t="s">
        <v>16</v>
      </c>
      <c r="E5" s="16" t="s">
        <v>88</v>
      </c>
      <c r="F5" s="16" t="s">
        <v>84</v>
      </c>
      <c r="G5" s="16" t="s">
        <v>89</v>
      </c>
      <c r="H5" s="16" t="s">
        <v>90</v>
      </c>
      <c r="I5" s="16" t="s">
        <v>85</v>
      </c>
    </row>
    <row r="6" customFormat="false" ht="15" hidden="false" customHeight="false" outlineLevel="0" collapsed="false">
      <c r="B6" s="5" t="n">
        <v>1</v>
      </c>
      <c r="C6" s="10" t="str">
        <f aca="false">IFERROR(INDEX(Inventory!$B$2:$B$381,MATCH($B6,Inventory!$P$2:$P$381,0)),"")</f>
        <v>70 Ω Resistor+</v>
      </c>
      <c r="D6" s="10" t="str">
        <f aca="false">IFERROR(INDEX(Inventory!$C$2:$C$381,MATCH($B6,Inventory!$P$2:$P$381,0)),"")</f>
        <v>Resistor</v>
      </c>
      <c r="E6" s="18" t="str">
        <f aca="false">IFERROR(INDEX(Inventory!$E$2:$E$381,MATCH($B6,Inventory!$P$2:$P$381,0)),"")</f>
        <v>A1</v>
      </c>
      <c r="F6" s="11" t="n">
        <f aca="false">IFERROR(INDEX(Inventory!$H$2:$H$381,MATCH($B6,Inventory!$P$2:$P$381,0)),"")</f>
        <v>5</v>
      </c>
      <c r="G6" s="11" t="n">
        <f aca="false">IFERROR(INDEX(Inventory!$I$2:$I$381,MATCH($B6,Inventory!$P$2:$P$381,0)),"")</f>
        <v>10</v>
      </c>
      <c r="H6" s="19" t="n">
        <f aca="false">IF($C6="","",IF($F6="","count it",MAX(0,$G6-$F6)))</f>
        <v>5</v>
      </c>
      <c r="I6" s="11" t="str">
        <f aca="false">IFERROR(INDEX(Inventory!$J$2:$J$381,MATCH($B6,Inventory!$P$2:$P$381,0)),"")</f>
        <v>Low stock</v>
      </c>
    </row>
    <row r="7" customFormat="false" ht="15" hidden="false" customHeight="false" outlineLevel="0" collapsed="false">
      <c r="B7" s="5" t="n">
        <v>2</v>
      </c>
      <c r="C7" s="10" t="str">
        <f aca="false">IFERROR(INDEX(Inventory!$B$2:$B$381,MATCH($B7,Inventory!$P$2:$P$381,0)),"")</f>
        <v>4.7K Ω Preset Potentiometer</v>
      </c>
      <c r="D7" s="10" t="str">
        <f aca="false">IFERROR(INDEX(Inventory!$C$2:$C$381,MATCH($B7,Inventory!$P$2:$P$381,0)),"")</f>
        <v>Potentiometer</v>
      </c>
      <c r="E7" s="18" t="str">
        <f aca="false">IFERROR(INDEX(Inventory!$E$2:$E$381,MATCH($B7,Inventory!$P$2:$P$381,0)),"")</f>
        <v>A3</v>
      </c>
      <c r="F7" s="11" t="n">
        <f aca="false">IFERROR(INDEX(Inventory!$H$2:$H$381,MATCH($B7,Inventory!$P$2:$P$381,0)),"")</f>
        <v>3</v>
      </c>
      <c r="G7" s="11" t="n">
        <f aca="false">IFERROR(INDEX(Inventory!$I$2:$I$381,MATCH($B7,Inventory!$P$2:$P$381,0)),"")</f>
        <v>4</v>
      </c>
      <c r="H7" s="19" t="n">
        <f aca="false">IF($C7="","",IF($F7="","count it",MAX(0,$G7-$F7)))</f>
        <v>1</v>
      </c>
      <c r="I7" s="11" t="str">
        <f aca="false">IFERROR(INDEX(Inventory!$J$2:$J$381,MATCH($B7,Inventory!$P$2:$P$381,0)),"")</f>
        <v>Low stock</v>
      </c>
    </row>
    <row r="8" customFormat="false" ht="15" hidden="false" customHeight="false" outlineLevel="0" collapsed="false">
      <c r="B8" s="5" t="n">
        <v>3</v>
      </c>
      <c r="C8" s="10" t="str">
        <f aca="false">IFERROR(INDEX(Inventory!$B$2:$B$381,MATCH($B8,Inventory!$P$2:$P$381,0)),"")</f>
        <v>10K Ω Preset Potentiometer</v>
      </c>
      <c r="D8" s="10" t="str">
        <f aca="false">IFERROR(INDEX(Inventory!$C$2:$C$381,MATCH($B8,Inventory!$P$2:$P$381,0)),"")</f>
        <v>Potentiometer</v>
      </c>
      <c r="E8" s="18" t="str">
        <f aca="false">IFERROR(INDEX(Inventory!$E$2:$E$381,MATCH($B8,Inventory!$P$2:$P$381,0)),"")</f>
        <v>A3</v>
      </c>
      <c r="F8" s="11" t="n">
        <f aca="false">IFERROR(INDEX(Inventory!$H$2:$H$381,MATCH($B8,Inventory!$P$2:$P$381,0)),"")</f>
        <v>3</v>
      </c>
      <c r="G8" s="11" t="n">
        <f aca="false">IFERROR(INDEX(Inventory!$I$2:$I$381,MATCH($B8,Inventory!$P$2:$P$381,0)),"")</f>
        <v>4</v>
      </c>
      <c r="H8" s="19" t="n">
        <f aca="false">IF($C8="","",IF($F8="","count it",MAX(0,$G8-$F8)))</f>
        <v>1</v>
      </c>
      <c r="I8" s="11" t="str">
        <f aca="false">IFERROR(INDEX(Inventory!$J$2:$J$381,MATCH($B8,Inventory!$P$2:$P$381,0)),"")</f>
        <v>Low stock</v>
      </c>
    </row>
    <row r="9" customFormat="false" ht="15" hidden="false" customHeight="false" outlineLevel="0" collapsed="false">
      <c r="B9" s="5" t="n">
        <v>4</v>
      </c>
      <c r="C9" s="10" t="str">
        <f aca="false">IFERROR(INDEX(Inventory!$B$2:$B$381,MATCH($B9,Inventory!$P$2:$P$381,0)),"")</f>
        <v>Microphone and Microphone Module</v>
      </c>
      <c r="D9" s="10" t="str">
        <f aca="false">IFERROR(INDEX(Inventory!$C$2:$C$381,MATCH($B9,Inventory!$P$2:$P$381,0)),"")</f>
        <v>Microphone</v>
      </c>
      <c r="E9" s="18" t="str">
        <f aca="false">IFERROR(INDEX(Inventory!$E$2:$E$381,MATCH($B9,Inventory!$P$2:$P$381,0)),"")</f>
        <v>A4</v>
      </c>
      <c r="F9" s="11" t="str">
        <f aca="false">IFERROR(INDEX(Inventory!$H$2:$H$381,MATCH($B9,Inventory!$P$2:$P$381,0)),"")</f>
        <v/>
      </c>
      <c r="G9" s="11" t="n">
        <f aca="false">IFERROR(INDEX(Inventory!$I$2:$I$381,MATCH($B9,Inventory!$P$2:$P$381,0)),"")</f>
        <v>2</v>
      </c>
      <c r="H9" s="19" t="str">
        <f aca="false">IF($C9="","",IF($F9="","count it",MAX(0,$G9-$F9)))</f>
        <v>count it</v>
      </c>
      <c r="I9" s="11" t="str">
        <f aca="false">IFERROR(INDEX(Inventory!$J$2:$J$381,MATCH($B9,Inventory!$P$2:$P$381,0)),"")</f>
        <v>Not counted</v>
      </c>
    </row>
    <row r="10" customFormat="false" ht="15" hidden="false" customHeight="false" outlineLevel="0" collapsed="false">
      <c r="B10" s="5" t="n">
        <v>5</v>
      </c>
      <c r="C10" s="10" t="str">
        <f aca="false">IFERROR(INDEX(Inventory!$B$2:$B$381,MATCH($B10,Inventory!$P$2:$P$381,0)),"")</f>
        <v>Speacker Speacker Module</v>
      </c>
      <c r="D10" s="10" t="str">
        <f aca="false">IFERROR(INDEX(Inventory!$C$2:$C$381,MATCH($B10,Inventory!$P$2:$P$381,0)),"")</f>
        <v>Speaker</v>
      </c>
      <c r="E10" s="18" t="str">
        <f aca="false">IFERROR(INDEX(Inventory!$E$2:$E$381,MATCH($B10,Inventory!$P$2:$P$381,0)),"")</f>
        <v>A4</v>
      </c>
      <c r="F10" s="11" t="str">
        <f aca="false">IFERROR(INDEX(Inventory!$H$2:$H$381,MATCH($B10,Inventory!$P$2:$P$381,0)),"")</f>
        <v/>
      </c>
      <c r="G10" s="11" t="n">
        <f aca="false">IFERROR(INDEX(Inventory!$I$2:$I$381,MATCH($B10,Inventory!$P$2:$P$381,0)),"")</f>
        <v>1</v>
      </c>
      <c r="H10" s="19" t="str">
        <f aca="false">IF($C10="","",IF($F10="","count it",MAX(0,$G10-$F10)))</f>
        <v>count it</v>
      </c>
      <c r="I10" s="11" t="str">
        <f aca="false">IFERROR(INDEX(Inventory!$J$2:$J$381,MATCH($B10,Inventory!$P$2:$P$381,0)),"")</f>
        <v>Not counted</v>
      </c>
    </row>
    <row r="11" customFormat="false" ht="15" hidden="false" customHeight="false" outlineLevel="0" collapsed="false">
      <c r="B11" s="5" t="n">
        <v>6</v>
      </c>
      <c r="C11" s="10" t="str">
        <f aca="false">IFERROR(INDEX(Inventory!$B$2:$B$381,MATCH($B11,Inventory!$P$2:$P$381,0)),"")</f>
        <v>2.7 Non polarised Capacitor</v>
      </c>
      <c r="D11" s="10" t="str">
        <f aca="false">IFERROR(INDEX(Inventory!$C$2:$C$381,MATCH($B11,Inventory!$P$2:$P$381,0)),"")</f>
        <v>Capacitor</v>
      </c>
      <c r="E11" s="18" t="str">
        <f aca="false">IFERROR(INDEX(Inventory!$E$2:$E$381,MATCH($B11,Inventory!$P$2:$P$381,0)),"")</f>
        <v>A5</v>
      </c>
      <c r="F11" s="11" t="n">
        <f aca="false">IFERROR(INDEX(Inventory!$H$2:$H$381,MATCH($B11,Inventory!$P$2:$P$381,0)),"")</f>
        <v>6</v>
      </c>
      <c r="G11" s="11" t="n">
        <f aca="false">IFERROR(INDEX(Inventory!$I$2:$I$381,MATCH($B11,Inventory!$P$2:$P$381,0)),"")</f>
        <v>10</v>
      </c>
      <c r="H11" s="19" t="n">
        <f aca="false">IF($C11="","",IF($F11="","count it",MAX(0,$G11-$F11)))</f>
        <v>4</v>
      </c>
      <c r="I11" s="11" t="str">
        <f aca="false">IFERROR(INDEX(Inventory!$J$2:$J$381,MATCH($B11,Inventory!$P$2:$P$381,0)),"")</f>
        <v>Low stock</v>
      </c>
    </row>
    <row r="12" customFormat="false" ht="15" hidden="false" customHeight="false" outlineLevel="0" collapsed="false">
      <c r="B12" s="5" t="n">
        <v>7</v>
      </c>
      <c r="C12" s="10" t="str">
        <f aca="false">IFERROR(INDEX(Inventory!$B$2:$B$381,MATCH($B12,Inventory!$P$2:$P$381,0)),"")</f>
        <v>47 Non polarised Capacitor</v>
      </c>
      <c r="D12" s="10" t="str">
        <f aca="false">IFERROR(INDEX(Inventory!$C$2:$C$381,MATCH($B12,Inventory!$P$2:$P$381,0)),"")</f>
        <v>Capacitor</v>
      </c>
      <c r="E12" s="18" t="str">
        <f aca="false">IFERROR(INDEX(Inventory!$E$2:$E$381,MATCH($B12,Inventory!$P$2:$P$381,0)),"")</f>
        <v>A5</v>
      </c>
      <c r="F12" s="11" t="n">
        <f aca="false">IFERROR(INDEX(Inventory!$H$2:$H$381,MATCH($B12,Inventory!$P$2:$P$381,0)),"")</f>
        <v>6</v>
      </c>
      <c r="G12" s="11" t="n">
        <f aca="false">IFERROR(INDEX(Inventory!$I$2:$I$381,MATCH($B12,Inventory!$P$2:$P$381,0)),"")</f>
        <v>10</v>
      </c>
      <c r="H12" s="19" t="n">
        <f aca="false">IF($C12="","",IF($F12="","count it",MAX(0,$G12-$F12)))</f>
        <v>4</v>
      </c>
      <c r="I12" s="11" t="str">
        <f aca="false">IFERROR(INDEX(Inventory!$J$2:$J$381,MATCH($B12,Inventory!$P$2:$P$381,0)),"")</f>
        <v>Low stock</v>
      </c>
    </row>
    <row r="13" customFormat="false" ht="15" hidden="false" customHeight="false" outlineLevel="0" collapsed="false">
      <c r="B13" s="5" t="n">
        <v>8</v>
      </c>
      <c r="C13" s="10" t="str">
        <f aca="false">IFERROR(INDEX(Inventory!$B$2:$B$381,MATCH($B13,Inventory!$P$2:$P$381,0)),"")</f>
        <v>56 Non Polarised Capacitor</v>
      </c>
      <c r="D13" s="10" t="str">
        <f aca="false">IFERROR(INDEX(Inventory!$C$2:$C$381,MATCH($B13,Inventory!$P$2:$P$381,0)),"")</f>
        <v>Capacitor</v>
      </c>
      <c r="E13" s="18" t="str">
        <f aca="false">IFERROR(INDEX(Inventory!$E$2:$E$381,MATCH($B13,Inventory!$P$2:$P$381,0)),"")</f>
        <v>A5</v>
      </c>
      <c r="F13" s="11" t="n">
        <f aca="false">IFERROR(INDEX(Inventory!$H$2:$H$381,MATCH($B13,Inventory!$P$2:$P$381,0)),"")</f>
        <v>8</v>
      </c>
      <c r="G13" s="11" t="n">
        <f aca="false">IFERROR(INDEX(Inventory!$I$2:$I$381,MATCH($B13,Inventory!$P$2:$P$381,0)),"")</f>
        <v>10</v>
      </c>
      <c r="H13" s="19" t="n">
        <f aca="false">IF($C13="","",IF($F13="","count it",MAX(0,$G13-$F13)))</f>
        <v>2</v>
      </c>
      <c r="I13" s="11" t="str">
        <f aca="false">IFERROR(INDEX(Inventory!$J$2:$J$381,MATCH($B13,Inventory!$P$2:$P$381,0)),"")</f>
        <v>Low stock</v>
      </c>
    </row>
    <row r="14" customFormat="false" ht="15" hidden="false" customHeight="false" outlineLevel="0" collapsed="false">
      <c r="B14" s="5" t="n">
        <v>9</v>
      </c>
      <c r="C14" s="10" t="str">
        <f aca="false">IFERROR(INDEX(Inventory!$B$2:$B$381,MATCH($B14,Inventory!$P$2:$P$381,0)),"")</f>
        <v>2.2uf 63v Capacitor</v>
      </c>
      <c r="D14" s="10" t="str">
        <f aca="false">IFERROR(INDEX(Inventory!$C$2:$C$381,MATCH($B14,Inventory!$P$2:$P$381,0)),"")</f>
        <v>Capacitor</v>
      </c>
      <c r="E14" s="18" t="str">
        <f aca="false">IFERROR(INDEX(Inventory!$E$2:$E$381,MATCH($B14,Inventory!$P$2:$P$381,0)),"")</f>
        <v>A6</v>
      </c>
      <c r="F14" s="11" t="n">
        <f aca="false">IFERROR(INDEX(Inventory!$H$2:$H$381,MATCH($B14,Inventory!$P$2:$P$381,0)),"")</f>
        <v>7</v>
      </c>
      <c r="G14" s="11" t="n">
        <f aca="false">IFERROR(INDEX(Inventory!$I$2:$I$381,MATCH($B14,Inventory!$P$2:$P$381,0)),"")</f>
        <v>10</v>
      </c>
      <c r="H14" s="19" t="n">
        <f aca="false">IF($C14="","",IF($F14="","count it",MAX(0,$G14-$F14)))</f>
        <v>3</v>
      </c>
      <c r="I14" s="11" t="str">
        <f aca="false">IFERROR(INDEX(Inventory!$J$2:$J$381,MATCH($B14,Inventory!$P$2:$P$381,0)),"")</f>
        <v>Low stock</v>
      </c>
    </row>
    <row r="15" customFormat="false" ht="15" hidden="false" customHeight="false" outlineLevel="0" collapsed="false">
      <c r="B15" s="5" t="n">
        <v>10</v>
      </c>
      <c r="C15" s="10" t="str">
        <f aca="false">IFERROR(INDEX(Inventory!$B$2:$B$381,MATCH($B15,Inventory!$P$2:$P$381,0)),"")</f>
        <v>10uf 50v Capacitor</v>
      </c>
      <c r="D15" s="10" t="str">
        <f aca="false">IFERROR(INDEX(Inventory!$C$2:$C$381,MATCH($B15,Inventory!$P$2:$P$381,0)),"")</f>
        <v>Capacitor</v>
      </c>
      <c r="E15" s="18" t="str">
        <f aca="false">IFERROR(INDEX(Inventory!$E$2:$E$381,MATCH($B15,Inventory!$P$2:$P$381,0)),"")</f>
        <v>A6</v>
      </c>
      <c r="F15" s="11" t="n">
        <f aca="false">IFERROR(INDEX(Inventory!$H$2:$H$381,MATCH($B15,Inventory!$P$2:$P$381,0)),"")</f>
        <v>7</v>
      </c>
      <c r="G15" s="11" t="n">
        <f aca="false">IFERROR(INDEX(Inventory!$I$2:$I$381,MATCH($B15,Inventory!$P$2:$P$381,0)),"")</f>
        <v>10</v>
      </c>
      <c r="H15" s="19" t="n">
        <f aca="false">IF($C15="","",IF($F15="","count it",MAX(0,$G15-$F15)))</f>
        <v>3</v>
      </c>
      <c r="I15" s="11" t="str">
        <f aca="false">IFERROR(INDEX(Inventory!$J$2:$J$381,MATCH($B15,Inventory!$P$2:$P$381,0)),"")</f>
        <v>Low stock</v>
      </c>
    </row>
    <row r="16" customFormat="false" ht="15" hidden="false" customHeight="false" outlineLevel="0" collapsed="false">
      <c r="B16" s="5" t="n">
        <v>11</v>
      </c>
      <c r="C16" s="10" t="str">
        <f aca="false">IFERROR(INDEX(Inventory!$B$2:$B$381,MATCH($B16,Inventory!$P$2:$P$381,0)),"")</f>
        <v>16MHz Oscillator</v>
      </c>
      <c r="D16" s="10" t="str">
        <f aca="false">IFERROR(INDEX(Inventory!$C$2:$C$381,MATCH($B16,Inventory!$P$2:$P$381,0)),"")</f>
        <v>Oscillator</v>
      </c>
      <c r="E16" s="18" t="str">
        <f aca="false">IFERROR(INDEX(Inventory!$E$2:$E$381,MATCH($B16,Inventory!$P$2:$P$381,0)),"")</f>
        <v>B6</v>
      </c>
      <c r="F16" s="11" t="n">
        <f aca="false">IFERROR(INDEX(Inventory!$H$2:$H$381,MATCH($B16,Inventory!$P$2:$P$381,0)),"")</f>
        <v>2</v>
      </c>
      <c r="G16" s="11" t="n">
        <f aca="false">IFERROR(INDEX(Inventory!$I$2:$I$381,MATCH($B16,Inventory!$P$2:$P$381,0)),"")</f>
        <v>5</v>
      </c>
      <c r="H16" s="19" t="n">
        <f aca="false">IF($C16="","",IF($F16="","count it",MAX(0,$G16-$F16)))</f>
        <v>3</v>
      </c>
      <c r="I16" s="11" t="str">
        <f aca="false">IFERROR(INDEX(Inventory!$J$2:$J$381,MATCH($B16,Inventory!$P$2:$P$381,0)),"")</f>
        <v>Low stock</v>
      </c>
    </row>
    <row r="17" customFormat="false" ht="15" hidden="false" customHeight="false" outlineLevel="0" collapsed="false">
      <c r="B17" s="5" t="n">
        <v>12</v>
      </c>
      <c r="C17" s="10" t="str">
        <f aca="false">IFERROR(INDEX(Inventory!$B$2:$B$381,MATCH($B17,Inventory!$P$2:$P$381,0)),"")</f>
        <v>Photo Diode Reciever</v>
      </c>
      <c r="D17" s="10" t="str">
        <f aca="false">IFERROR(INDEX(Inventory!$C$2:$C$381,MATCH($B17,Inventory!$P$2:$P$381,0)),"")</f>
        <v>LED</v>
      </c>
      <c r="E17" s="18" t="str">
        <f aca="false">IFERROR(INDEX(Inventory!$E$2:$E$381,MATCH($B17,Inventory!$P$2:$P$381,0)),"")</f>
        <v>B8</v>
      </c>
      <c r="F17" s="11" t="n">
        <f aca="false">IFERROR(INDEX(Inventory!$H$2:$H$381,MATCH($B17,Inventory!$P$2:$P$381,0)),"")</f>
        <v>2</v>
      </c>
      <c r="G17" s="11" t="n">
        <f aca="false">IFERROR(INDEX(Inventory!$I$2:$I$381,MATCH($B17,Inventory!$P$2:$P$381,0)),"")</f>
        <v>5</v>
      </c>
      <c r="H17" s="19" t="n">
        <f aca="false">IF($C17="","",IF($F17="","count it",MAX(0,$G17-$F17)))</f>
        <v>3</v>
      </c>
      <c r="I17" s="11" t="str">
        <f aca="false">IFERROR(INDEX(Inventory!$J$2:$J$381,MATCH($B17,Inventory!$P$2:$P$381,0)),"")</f>
        <v>Low stock</v>
      </c>
    </row>
    <row r="18" customFormat="false" ht="15" hidden="false" customHeight="false" outlineLevel="0" collapsed="false">
      <c r="B18" s="5" t="n">
        <v>13</v>
      </c>
      <c r="C18" s="10" t="str">
        <f aca="false">IFERROR(INDEX(Inventory!$B$2:$B$381,MATCH($B18,Inventory!$P$2:$P$381,0)),"")</f>
        <v>I2C OLED</v>
      </c>
      <c r="D18" s="10" t="str">
        <f aca="false">IFERROR(INDEX(Inventory!$C$2:$C$381,MATCH($B18,Inventory!$P$2:$P$381,0)),"")</f>
        <v>LED</v>
      </c>
      <c r="E18" s="18" t="str">
        <f aca="false">IFERROR(INDEX(Inventory!$E$2:$E$381,MATCH($B18,Inventory!$P$2:$P$381,0)),"")</f>
        <v>B8</v>
      </c>
      <c r="F18" s="11" t="n">
        <f aca="false">IFERROR(INDEX(Inventory!$H$2:$H$381,MATCH($B18,Inventory!$P$2:$P$381,0)),"")</f>
        <v>1</v>
      </c>
      <c r="G18" s="11" t="n">
        <f aca="false">IFERROR(INDEX(Inventory!$I$2:$I$381,MATCH($B18,Inventory!$P$2:$P$381,0)),"")</f>
        <v>5</v>
      </c>
      <c r="H18" s="19" t="n">
        <f aca="false">IF($C18="","",IF($F18="","count it",MAX(0,$G18-$F18)))</f>
        <v>4</v>
      </c>
      <c r="I18" s="11" t="str">
        <f aca="false">IFERROR(INDEX(Inventory!$J$2:$J$381,MATCH($B18,Inventory!$P$2:$P$381,0)),"")</f>
        <v>Low stock</v>
      </c>
    </row>
    <row r="19" customFormat="false" ht="15" hidden="false" customHeight="false" outlineLevel="0" collapsed="false">
      <c r="B19" s="5" t="n">
        <v>14</v>
      </c>
      <c r="C19" s="10" t="str">
        <f aca="false">IFERROR(INDEX(Inventory!$B$2:$B$381,MATCH($B19,Inventory!$P$2:$P$381,0)),"")</f>
        <v>Push Switch</v>
      </c>
      <c r="D19" s="10" t="str">
        <f aca="false">IFERROR(INDEX(Inventory!$C$2:$C$381,MATCH($B19,Inventory!$P$2:$P$381,0)),"")</f>
        <v>Switch</v>
      </c>
      <c r="E19" s="18" t="str">
        <f aca="false">IFERROR(INDEX(Inventory!$E$2:$E$381,MATCH($B19,Inventory!$P$2:$P$381,0)),"")</f>
        <v>C1</v>
      </c>
      <c r="F19" s="11" t="str">
        <f aca="false">IFERROR(INDEX(Inventory!$H$2:$H$381,MATCH($B19,Inventory!$P$2:$P$381,0)),"")</f>
        <v/>
      </c>
      <c r="G19" s="11" t="n">
        <f aca="false">IFERROR(INDEX(Inventory!$I$2:$I$381,MATCH($B19,Inventory!$P$2:$P$381,0)),"")</f>
        <v>4</v>
      </c>
      <c r="H19" s="19" t="str">
        <f aca="false">IF($C19="","",IF($F19="","count it",MAX(0,$G19-$F19)))</f>
        <v>count it</v>
      </c>
      <c r="I19" s="11" t="str">
        <f aca="false">IFERROR(INDEX(Inventory!$J$2:$J$381,MATCH($B19,Inventory!$P$2:$P$381,0)),"")</f>
        <v>Not counted</v>
      </c>
    </row>
    <row r="20" customFormat="false" ht="15" hidden="false" customHeight="false" outlineLevel="0" collapsed="false">
      <c r="B20" s="5" t="n">
        <v>15</v>
      </c>
      <c r="C20" s="10" t="str">
        <f aca="false">IFERROR(INDEX(Inventory!$B$2:$B$381,MATCH($B20,Inventory!$P$2:$P$381,0)),"")</f>
        <v>40 Pin ZIF Socket</v>
      </c>
      <c r="D20" s="10" t="str">
        <f aca="false">IFERROR(INDEX(Inventory!$C$2:$C$381,MATCH($B20,Inventory!$P$2:$P$381,0)),"")</f>
        <v>IC Base</v>
      </c>
      <c r="E20" s="18" t="str">
        <f aca="false">IFERROR(INDEX(Inventory!$E$2:$E$381,MATCH($B20,Inventory!$P$2:$P$381,0)),"")</f>
        <v>C4</v>
      </c>
      <c r="F20" s="11" t="n">
        <f aca="false">IFERROR(INDEX(Inventory!$H$2:$H$381,MATCH($B20,Inventory!$P$2:$P$381,0)),"")</f>
        <v>3</v>
      </c>
      <c r="G20" s="11" t="n">
        <f aca="false">IFERROR(INDEX(Inventory!$I$2:$I$381,MATCH($B20,Inventory!$P$2:$P$381,0)),"")</f>
        <v>5</v>
      </c>
      <c r="H20" s="19" t="n">
        <f aca="false">IF($C20="","",IF($F20="","count it",MAX(0,$G20-$F20)))</f>
        <v>2</v>
      </c>
      <c r="I20" s="11" t="str">
        <f aca="false">IFERROR(INDEX(Inventory!$J$2:$J$381,MATCH($B20,Inventory!$P$2:$P$381,0)),"")</f>
        <v>Low stock</v>
      </c>
    </row>
    <row r="21" customFormat="false" ht="15" hidden="false" customHeight="false" outlineLevel="0" collapsed="false">
      <c r="B21" s="5" t="n">
        <v>16</v>
      </c>
      <c r="C21" s="10" t="str">
        <f aca="false">IFERROR(INDEX(Inventory!$B$2:$B$381,MATCH($B21,Inventory!$P$2:$P$381,0)),"")</f>
        <v>IRF 420 Mosfet Module</v>
      </c>
      <c r="D21" s="10" t="str">
        <f aca="false">IFERROR(INDEX(Inventory!$C$2:$C$381,MATCH($B21,Inventory!$P$2:$P$381,0)),"")</f>
        <v>Module</v>
      </c>
      <c r="E21" s="18" t="str">
        <f aca="false">IFERROR(INDEX(Inventory!$E$2:$E$381,MATCH($B21,Inventory!$P$2:$P$381,0)),"")</f>
        <v>C5</v>
      </c>
      <c r="F21" s="11" t="n">
        <f aca="false">IFERROR(INDEX(Inventory!$H$2:$H$381,MATCH($B21,Inventory!$P$2:$P$381,0)),"")</f>
        <v>1</v>
      </c>
      <c r="G21" s="11" t="n">
        <f aca="false">IFERROR(INDEX(Inventory!$I$2:$I$381,MATCH($B21,Inventory!$P$2:$P$381,0)),"")</f>
        <v>2</v>
      </c>
      <c r="H21" s="19" t="n">
        <f aca="false">IF($C21="","",IF($F21="","count it",MAX(0,$G21-$F21)))</f>
        <v>1</v>
      </c>
      <c r="I21" s="11" t="str">
        <f aca="false">IFERROR(INDEX(Inventory!$J$2:$J$381,MATCH($B21,Inventory!$P$2:$P$381,0)),"")</f>
        <v>Low stock</v>
      </c>
    </row>
    <row r="22" customFormat="false" ht="15" hidden="false" customHeight="false" outlineLevel="0" collapsed="false">
      <c r="B22" s="5" t="n">
        <v>17</v>
      </c>
      <c r="C22" s="10" t="str">
        <f aca="false">IFERROR(INDEX(Inventory!$B$2:$B$381,MATCH($B22,Inventory!$P$2:$P$381,0)),"")</f>
        <v>Normal Screw Bolt</v>
      </c>
      <c r="D22" s="10" t="str">
        <f aca="false">IFERROR(INDEX(Inventory!$C$2:$C$381,MATCH($B22,Inventory!$P$2:$P$381,0)),"")</f>
        <v>Hardware</v>
      </c>
      <c r="E22" s="18" t="str">
        <f aca="false">IFERROR(INDEX(Inventory!$E$2:$E$381,MATCH($B22,Inventory!$P$2:$P$381,0)),"")</f>
        <v>C6</v>
      </c>
      <c r="F22" s="11" t="str">
        <f aca="false">IFERROR(INDEX(Inventory!$H$2:$H$381,MATCH($B22,Inventory!$P$2:$P$381,0)),"")</f>
        <v/>
      </c>
      <c r="G22" s="11" t="n">
        <f aca="false">IFERROR(INDEX(Inventory!$I$2:$I$381,MATCH($B22,Inventory!$P$2:$P$381,0)),"")</f>
        <v>5</v>
      </c>
      <c r="H22" s="19" t="str">
        <f aca="false">IF($C22="","",IF($F22="","count it",MAX(0,$G22-$F22)))</f>
        <v>count it</v>
      </c>
      <c r="I22" s="11" t="str">
        <f aca="false">IFERROR(INDEX(Inventory!$J$2:$J$381,MATCH($B22,Inventory!$P$2:$P$381,0)),"")</f>
        <v>Not counted</v>
      </c>
    </row>
    <row r="23" customFormat="false" ht="15" hidden="false" customHeight="false" outlineLevel="0" collapsed="false">
      <c r="B23" s="5" t="n">
        <v>18</v>
      </c>
      <c r="C23" s="10" t="str">
        <f aca="false">IFERROR(INDEX(Inventory!$B$2:$B$381,MATCH($B23,Inventory!$P$2:$P$381,0)),"")</f>
        <v>SMD Screw and Bolt</v>
      </c>
      <c r="D23" s="10" t="str">
        <f aca="false">IFERROR(INDEX(Inventory!$C$2:$C$381,MATCH($B23,Inventory!$P$2:$P$381,0)),"")</f>
        <v>Hardware</v>
      </c>
      <c r="E23" s="18" t="str">
        <f aca="false">IFERROR(INDEX(Inventory!$E$2:$E$381,MATCH($B23,Inventory!$P$2:$P$381,0)),"")</f>
        <v>C7</v>
      </c>
      <c r="F23" s="11" t="str">
        <f aca="false">IFERROR(INDEX(Inventory!$H$2:$H$381,MATCH($B23,Inventory!$P$2:$P$381,0)),"")</f>
        <v/>
      </c>
      <c r="G23" s="11" t="n">
        <f aca="false">IFERROR(INDEX(Inventory!$I$2:$I$381,MATCH($B23,Inventory!$P$2:$P$381,0)),"")</f>
        <v>5</v>
      </c>
      <c r="H23" s="19" t="str">
        <f aca="false">IF($C23="","",IF($F23="","count it",MAX(0,$G23-$F23)))</f>
        <v>count it</v>
      </c>
      <c r="I23" s="11" t="str">
        <f aca="false">IFERROR(INDEX(Inventory!$J$2:$J$381,MATCH($B23,Inventory!$P$2:$P$381,0)),"")</f>
        <v>Not counted</v>
      </c>
    </row>
    <row r="24" customFormat="false" ht="15" hidden="false" customHeight="false" outlineLevel="0" collapsed="false">
      <c r="B24" s="5" t="n">
        <v>19</v>
      </c>
      <c r="C24" s="10" t="str">
        <f aca="false">IFERROR(INDEX(Inventory!$B$2:$B$381,MATCH($B24,Inventory!$P$2:$P$381,0)),"")</f>
        <v>Zener Diode</v>
      </c>
      <c r="D24" s="10" t="str">
        <f aca="false">IFERROR(INDEX(Inventory!$C$2:$C$381,MATCH($B24,Inventory!$P$2:$P$381,0)),"")</f>
        <v>Diode</v>
      </c>
      <c r="E24" s="18" t="str">
        <f aca="false">IFERROR(INDEX(Inventory!$E$2:$E$381,MATCH($B24,Inventory!$P$2:$P$381,0)),"")</f>
        <v>C8</v>
      </c>
      <c r="F24" s="11" t="str">
        <f aca="false">IFERROR(INDEX(Inventory!$H$2:$H$381,MATCH($B24,Inventory!$P$2:$P$381,0)),"")</f>
        <v/>
      </c>
      <c r="G24" s="11" t="n">
        <f aca="false">IFERROR(INDEX(Inventory!$I$2:$I$381,MATCH($B24,Inventory!$P$2:$P$381,0)),"")</f>
        <v>5</v>
      </c>
      <c r="H24" s="19" t="str">
        <f aca="false">IF($C24="","",IF($F24="","count it",MAX(0,$G24-$F24)))</f>
        <v>count it</v>
      </c>
      <c r="I24" s="11" t="str">
        <f aca="false">IFERROR(INDEX(Inventory!$J$2:$J$381,MATCH($B24,Inventory!$P$2:$P$381,0)),"")</f>
        <v>Not counted</v>
      </c>
    </row>
    <row r="25" customFormat="false" ht="15" hidden="false" customHeight="false" outlineLevel="0" collapsed="false">
      <c r="B25" s="5" t="n">
        <v>20</v>
      </c>
      <c r="C25" s="10" t="str">
        <f aca="false">IFERROR(INDEX(Inventory!$B$2:$B$381,MATCH($B25,Inventory!$P$2:$P$381,0)),"")</f>
        <v>IRF9234N</v>
      </c>
      <c r="D25" s="10" t="str">
        <f aca="false">IFERROR(INDEX(Inventory!$C$2:$C$381,MATCH($B25,Inventory!$P$2:$P$381,0)),"")</f>
        <v>IC</v>
      </c>
      <c r="E25" s="18" t="str">
        <f aca="false">IFERROR(INDEX(Inventory!$E$2:$E$381,MATCH($B25,Inventory!$P$2:$P$381,0)),"")</f>
        <v>D3</v>
      </c>
      <c r="F25" s="11" t="n">
        <f aca="false">IFERROR(INDEX(Inventory!$H$2:$H$381,MATCH($B25,Inventory!$P$2:$P$381,0)),"")</f>
        <v>3</v>
      </c>
      <c r="G25" s="11" t="n">
        <f aca="false">IFERROR(INDEX(Inventory!$I$2:$I$381,MATCH($B25,Inventory!$P$2:$P$381,0)),"")</f>
        <v>4</v>
      </c>
      <c r="H25" s="19" t="n">
        <f aca="false">IF($C25="","",IF($F25="","count it",MAX(0,$G25-$F25)))</f>
        <v>1</v>
      </c>
      <c r="I25" s="11" t="str">
        <f aca="false">IFERROR(INDEX(Inventory!$J$2:$J$381,MATCH($B25,Inventory!$P$2:$P$381,0)),"")</f>
        <v>Low stock</v>
      </c>
    </row>
    <row r="26" customFormat="false" ht="15" hidden="false" customHeight="false" outlineLevel="0" collapsed="false">
      <c r="B26" s="5" t="n">
        <v>21</v>
      </c>
      <c r="C26" s="10" t="str">
        <f aca="false">IFERROR(INDEX(Inventory!$B$2:$B$381,MATCH($B26,Inventory!$P$2:$P$381,0)),"")</f>
        <v>74LS86P</v>
      </c>
      <c r="D26" s="10" t="str">
        <f aca="false">IFERROR(INDEX(Inventory!$C$2:$C$381,MATCH($B26,Inventory!$P$2:$P$381,0)),"")</f>
        <v>IC</v>
      </c>
      <c r="E26" s="18" t="str">
        <f aca="false">IFERROR(INDEX(Inventory!$E$2:$E$381,MATCH($B26,Inventory!$P$2:$P$381,0)),"")</f>
        <v>D5</v>
      </c>
      <c r="F26" s="11" t="n">
        <f aca="false">IFERROR(INDEX(Inventory!$H$2:$H$381,MATCH($B26,Inventory!$P$2:$P$381,0)),"")</f>
        <v>2</v>
      </c>
      <c r="G26" s="11" t="n">
        <f aca="false">IFERROR(INDEX(Inventory!$I$2:$I$381,MATCH($B26,Inventory!$P$2:$P$381,0)),"")</f>
        <v>4</v>
      </c>
      <c r="H26" s="19" t="n">
        <f aca="false">IF($C26="","",IF($F26="","count it",MAX(0,$G26-$F26)))</f>
        <v>2</v>
      </c>
      <c r="I26" s="11" t="str">
        <f aca="false">IFERROR(INDEX(Inventory!$J$2:$J$381,MATCH($B26,Inventory!$P$2:$P$381,0)),"")</f>
        <v>Low stock</v>
      </c>
    </row>
    <row r="27" customFormat="false" ht="15" hidden="false" customHeight="false" outlineLevel="0" collapsed="false">
      <c r="B27" s="5" t="n">
        <v>22</v>
      </c>
      <c r="C27" s="10" t="str">
        <f aca="false">IFERROR(INDEX(Inventory!$B$2:$B$381,MATCH($B27,Inventory!$P$2:$P$381,0)),"")</f>
        <v>74LS136N</v>
      </c>
      <c r="D27" s="10" t="str">
        <f aca="false">IFERROR(INDEX(Inventory!$C$2:$C$381,MATCH($B27,Inventory!$P$2:$P$381,0)),"")</f>
        <v>IC</v>
      </c>
      <c r="E27" s="18" t="str">
        <f aca="false">IFERROR(INDEX(Inventory!$E$2:$E$381,MATCH($B27,Inventory!$P$2:$P$381,0)),"")</f>
        <v>D5</v>
      </c>
      <c r="F27" s="11" t="n">
        <f aca="false">IFERROR(INDEX(Inventory!$H$2:$H$381,MATCH($B27,Inventory!$P$2:$P$381,0)),"")</f>
        <v>3</v>
      </c>
      <c r="G27" s="11" t="n">
        <f aca="false">IFERROR(INDEX(Inventory!$I$2:$I$381,MATCH($B27,Inventory!$P$2:$P$381,0)),"")</f>
        <v>4</v>
      </c>
      <c r="H27" s="19" t="n">
        <f aca="false">IF($C27="","",IF($F27="","count it",MAX(0,$G27-$F27)))</f>
        <v>1</v>
      </c>
      <c r="I27" s="11" t="str">
        <f aca="false">IFERROR(INDEX(Inventory!$J$2:$J$381,MATCH($B27,Inventory!$P$2:$P$381,0)),"")</f>
        <v>Low stock</v>
      </c>
    </row>
    <row r="28" customFormat="false" ht="15" hidden="false" customHeight="false" outlineLevel="0" collapsed="false">
      <c r="B28" s="5" t="n">
        <v>23</v>
      </c>
      <c r="C28" s="10" t="str">
        <f aca="false">IFERROR(INDEX(Inventory!$B$2:$B$381,MATCH($B28,Inventory!$P$2:$P$381,0)),"")</f>
        <v>74LS245P</v>
      </c>
      <c r="D28" s="10" t="str">
        <f aca="false">IFERROR(INDEX(Inventory!$C$2:$C$381,MATCH($B28,Inventory!$P$2:$P$381,0)),"")</f>
        <v>IC</v>
      </c>
      <c r="E28" s="18" t="str">
        <f aca="false">IFERROR(INDEX(Inventory!$E$2:$E$381,MATCH($B28,Inventory!$P$2:$P$381,0)),"")</f>
        <v>D5</v>
      </c>
      <c r="F28" s="11" t="n">
        <f aca="false">IFERROR(INDEX(Inventory!$H$2:$H$381,MATCH($B28,Inventory!$P$2:$P$381,0)),"")</f>
        <v>2</v>
      </c>
      <c r="G28" s="11" t="n">
        <f aca="false">IFERROR(INDEX(Inventory!$I$2:$I$381,MATCH($B28,Inventory!$P$2:$P$381,0)),"")</f>
        <v>4</v>
      </c>
      <c r="H28" s="19" t="n">
        <f aca="false">IF($C28="","",IF($F28="","count it",MAX(0,$G28-$F28)))</f>
        <v>2</v>
      </c>
      <c r="I28" s="11" t="str">
        <f aca="false">IFERROR(INDEX(Inventory!$J$2:$J$381,MATCH($B28,Inventory!$P$2:$P$381,0)),"")</f>
        <v>Low stock</v>
      </c>
    </row>
    <row r="29" customFormat="false" ht="15" hidden="false" customHeight="false" outlineLevel="0" collapsed="false">
      <c r="B29" s="5" t="n">
        <v>24</v>
      </c>
      <c r="C29" s="10" t="str">
        <f aca="false">IFERROR(INDEX(Inventory!$B$2:$B$381,MATCH($B29,Inventory!$P$2:$P$381,0)),"")</f>
        <v>74LS12N</v>
      </c>
      <c r="D29" s="10" t="str">
        <f aca="false">IFERROR(INDEX(Inventory!$C$2:$C$381,MATCH($B29,Inventory!$P$2:$P$381,0)),"")</f>
        <v>IC</v>
      </c>
      <c r="E29" s="18" t="str">
        <f aca="false">IFERROR(INDEX(Inventory!$E$2:$E$381,MATCH($B29,Inventory!$P$2:$P$381,0)),"")</f>
        <v>D5</v>
      </c>
      <c r="F29" s="11" t="n">
        <f aca="false">IFERROR(INDEX(Inventory!$H$2:$H$381,MATCH($B29,Inventory!$P$2:$P$381,0)),"")</f>
        <v>2</v>
      </c>
      <c r="G29" s="11" t="n">
        <f aca="false">IFERROR(INDEX(Inventory!$I$2:$I$381,MATCH($B29,Inventory!$P$2:$P$381,0)),"")</f>
        <v>4</v>
      </c>
      <c r="H29" s="19" t="n">
        <f aca="false">IF($C29="","",IF($F29="","count it",MAX(0,$G29-$F29)))</f>
        <v>2</v>
      </c>
      <c r="I29" s="11" t="str">
        <f aca="false">IFERROR(INDEX(Inventory!$J$2:$J$381,MATCH($B29,Inventory!$P$2:$P$381,0)),"")</f>
        <v>Low stock</v>
      </c>
    </row>
    <row r="30" customFormat="false" ht="15" hidden="false" customHeight="false" outlineLevel="0" collapsed="false">
      <c r="B30" s="5" t="n">
        <v>25</v>
      </c>
      <c r="C30" s="10" t="str">
        <f aca="false">IFERROR(INDEX(Inventory!$B$2:$B$381,MATCH($B30,Inventory!$P$2:$P$381,0)),"")</f>
        <v>74LS04P</v>
      </c>
      <c r="D30" s="10" t="str">
        <f aca="false">IFERROR(INDEX(Inventory!$C$2:$C$381,MATCH($B30,Inventory!$P$2:$P$381,0)),"")</f>
        <v>IC</v>
      </c>
      <c r="E30" s="18" t="str">
        <f aca="false">IFERROR(INDEX(Inventory!$E$2:$E$381,MATCH($B30,Inventory!$P$2:$P$381,0)),"")</f>
        <v>D5</v>
      </c>
      <c r="F30" s="11" t="n">
        <f aca="false">IFERROR(INDEX(Inventory!$H$2:$H$381,MATCH($B30,Inventory!$P$2:$P$381,0)),"")</f>
        <v>3</v>
      </c>
      <c r="G30" s="11" t="n">
        <f aca="false">IFERROR(INDEX(Inventory!$I$2:$I$381,MATCH($B30,Inventory!$P$2:$P$381,0)),"")</f>
        <v>4</v>
      </c>
      <c r="H30" s="19" t="n">
        <f aca="false">IF($C30="","",IF($F30="","count it",MAX(0,$G30-$F30)))</f>
        <v>1</v>
      </c>
      <c r="I30" s="11" t="str">
        <f aca="false">IFERROR(INDEX(Inventory!$J$2:$J$381,MATCH($B30,Inventory!$P$2:$P$381,0)),"")</f>
        <v>Low stock</v>
      </c>
    </row>
    <row r="31" customFormat="false" ht="15" hidden="false" customHeight="false" outlineLevel="0" collapsed="false">
      <c r="B31" s="5" t="n">
        <v>26</v>
      </c>
      <c r="C31" s="10" t="str">
        <f aca="false">IFERROR(INDEX(Inventory!$B$2:$B$381,MATCH($B31,Inventory!$P$2:$P$381,0)),"")</f>
        <v>74LS161N</v>
      </c>
      <c r="D31" s="10" t="str">
        <f aca="false">IFERROR(INDEX(Inventory!$C$2:$C$381,MATCH($B31,Inventory!$P$2:$P$381,0)),"")</f>
        <v>IC</v>
      </c>
      <c r="E31" s="18" t="str">
        <f aca="false">IFERROR(INDEX(Inventory!$E$2:$E$381,MATCH($B31,Inventory!$P$2:$P$381,0)),"")</f>
        <v>D5</v>
      </c>
      <c r="F31" s="11" t="n">
        <f aca="false">IFERROR(INDEX(Inventory!$H$2:$H$381,MATCH($B31,Inventory!$P$2:$P$381,0)),"")</f>
        <v>1</v>
      </c>
      <c r="G31" s="11" t="n">
        <f aca="false">IFERROR(INDEX(Inventory!$I$2:$I$381,MATCH($B31,Inventory!$P$2:$P$381,0)),"")</f>
        <v>4</v>
      </c>
      <c r="H31" s="19" t="n">
        <f aca="false">IF($C31="","",IF($F31="","count it",MAX(0,$G31-$F31)))</f>
        <v>3</v>
      </c>
      <c r="I31" s="11" t="str">
        <f aca="false">IFERROR(INDEX(Inventory!$J$2:$J$381,MATCH($B31,Inventory!$P$2:$P$381,0)),"")</f>
        <v>Low stock</v>
      </c>
    </row>
    <row r="32" customFormat="false" ht="15" hidden="false" customHeight="false" outlineLevel="0" collapsed="false">
      <c r="B32" s="5" t="n">
        <v>27</v>
      </c>
      <c r="C32" s="10" t="str">
        <f aca="false">IFERROR(INDEX(Inventory!$B$2:$B$381,MATCH($B32,Inventory!$P$2:$P$381,0)),"")</f>
        <v>74HC244</v>
      </c>
      <c r="D32" s="10" t="str">
        <f aca="false">IFERROR(INDEX(Inventory!$C$2:$C$381,MATCH($B32,Inventory!$P$2:$P$381,0)),"")</f>
        <v>IC</v>
      </c>
      <c r="E32" s="18" t="str">
        <f aca="false">IFERROR(INDEX(Inventory!$E$2:$E$381,MATCH($B32,Inventory!$P$2:$P$381,0)),"")</f>
        <v>D5</v>
      </c>
      <c r="F32" s="11" t="n">
        <f aca="false">IFERROR(INDEX(Inventory!$H$2:$H$381,MATCH($B32,Inventory!$P$2:$P$381,0)),"")</f>
        <v>1</v>
      </c>
      <c r="G32" s="11" t="n">
        <f aca="false">IFERROR(INDEX(Inventory!$I$2:$I$381,MATCH($B32,Inventory!$P$2:$P$381,0)),"")</f>
        <v>4</v>
      </c>
      <c r="H32" s="19" t="n">
        <f aca="false">IF($C32="","",IF($F32="","count it",MAX(0,$G32-$F32)))</f>
        <v>3</v>
      </c>
      <c r="I32" s="11" t="str">
        <f aca="false">IFERROR(INDEX(Inventory!$J$2:$J$381,MATCH($B32,Inventory!$P$2:$P$381,0)),"")</f>
        <v>Low stock</v>
      </c>
    </row>
    <row r="33" customFormat="false" ht="15" hidden="false" customHeight="false" outlineLevel="0" collapsed="false">
      <c r="B33" s="5" t="n">
        <v>28</v>
      </c>
      <c r="C33" s="10" t="str">
        <f aca="false">IFERROR(INDEX(Inventory!$B$2:$B$381,MATCH($B33,Inventory!$P$2:$P$381,0)),"")</f>
        <v>74HCT138</v>
      </c>
      <c r="D33" s="10" t="str">
        <f aca="false">IFERROR(INDEX(Inventory!$C$2:$C$381,MATCH($B33,Inventory!$P$2:$P$381,0)),"")</f>
        <v>IC</v>
      </c>
      <c r="E33" s="18" t="str">
        <f aca="false">IFERROR(INDEX(Inventory!$E$2:$E$381,MATCH($B33,Inventory!$P$2:$P$381,0)),"")</f>
        <v>D5</v>
      </c>
      <c r="F33" s="11" t="n">
        <f aca="false">IFERROR(INDEX(Inventory!$H$2:$H$381,MATCH($B33,Inventory!$P$2:$P$381,0)),"")</f>
        <v>2</v>
      </c>
      <c r="G33" s="11" t="n">
        <f aca="false">IFERROR(INDEX(Inventory!$I$2:$I$381,MATCH($B33,Inventory!$P$2:$P$381,0)),"")</f>
        <v>4</v>
      </c>
      <c r="H33" s="19" t="n">
        <f aca="false">IF($C33="","",IF($F33="","count it",MAX(0,$G33-$F33)))</f>
        <v>2</v>
      </c>
      <c r="I33" s="11" t="str">
        <f aca="false">IFERROR(INDEX(Inventory!$J$2:$J$381,MATCH($B33,Inventory!$P$2:$P$381,0)),"")</f>
        <v>Low stock</v>
      </c>
    </row>
    <row r="34" customFormat="false" ht="15" hidden="false" customHeight="false" outlineLevel="0" collapsed="false">
      <c r="B34" s="5" t="n">
        <v>29</v>
      </c>
      <c r="C34" s="10" t="str">
        <f aca="false">IFERROR(INDEX(Inventory!$B$2:$B$381,MATCH($B34,Inventory!$P$2:$P$381,0)),"")</f>
        <v>74HC86</v>
      </c>
      <c r="D34" s="10" t="str">
        <f aca="false">IFERROR(INDEX(Inventory!$C$2:$C$381,MATCH($B34,Inventory!$P$2:$P$381,0)),"")</f>
        <v>IC</v>
      </c>
      <c r="E34" s="18" t="str">
        <f aca="false">IFERROR(INDEX(Inventory!$E$2:$E$381,MATCH($B34,Inventory!$P$2:$P$381,0)),"")</f>
        <v>D5</v>
      </c>
      <c r="F34" s="11" t="n">
        <f aca="false">IFERROR(INDEX(Inventory!$H$2:$H$381,MATCH($B34,Inventory!$P$2:$P$381,0)),"")</f>
        <v>1</v>
      </c>
      <c r="G34" s="11" t="n">
        <f aca="false">IFERROR(INDEX(Inventory!$I$2:$I$381,MATCH($B34,Inventory!$P$2:$P$381,0)),"")</f>
        <v>4</v>
      </c>
      <c r="H34" s="19" t="n">
        <f aca="false">IF($C34="","",IF($F34="","count it",MAX(0,$G34-$F34)))</f>
        <v>3</v>
      </c>
      <c r="I34" s="11" t="str">
        <f aca="false">IFERROR(INDEX(Inventory!$J$2:$J$381,MATCH($B34,Inventory!$P$2:$P$381,0)),"")</f>
        <v>Low stock</v>
      </c>
    </row>
    <row r="35" customFormat="false" ht="15" hidden="false" customHeight="false" outlineLevel="0" collapsed="false">
      <c r="B35" s="5" t="n">
        <v>30</v>
      </c>
      <c r="C35" s="10" t="str">
        <f aca="false">IFERROR(INDEX(Inventory!$B$2:$B$381,MATCH($B35,Inventory!$P$2:$P$381,0)),"")</f>
        <v>74LS90N</v>
      </c>
      <c r="D35" s="10" t="str">
        <f aca="false">IFERROR(INDEX(Inventory!$C$2:$C$381,MATCH($B35,Inventory!$P$2:$P$381,0)),"")</f>
        <v>IC</v>
      </c>
      <c r="E35" s="18" t="str">
        <f aca="false">IFERROR(INDEX(Inventory!$E$2:$E$381,MATCH($B35,Inventory!$P$2:$P$381,0)),"")</f>
        <v>D5</v>
      </c>
      <c r="F35" s="11" t="n">
        <f aca="false">IFERROR(INDEX(Inventory!$H$2:$H$381,MATCH($B35,Inventory!$P$2:$P$381,0)),"")</f>
        <v>1</v>
      </c>
      <c r="G35" s="11" t="n">
        <f aca="false">IFERROR(INDEX(Inventory!$I$2:$I$381,MATCH($B35,Inventory!$P$2:$P$381,0)),"")</f>
        <v>4</v>
      </c>
      <c r="H35" s="19" t="n">
        <f aca="false">IF($C35="","",IF($F35="","count it",MAX(0,$G35-$F35)))</f>
        <v>3</v>
      </c>
      <c r="I35" s="11" t="str">
        <f aca="false">IFERROR(INDEX(Inventory!$J$2:$J$381,MATCH($B35,Inventory!$P$2:$P$381,0)),"")</f>
        <v>Low stock</v>
      </c>
    </row>
    <row r="36" customFormat="false" ht="15" hidden="false" customHeight="false" outlineLevel="0" collapsed="false">
      <c r="B36" s="5" t="n">
        <v>31</v>
      </c>
      <c r="C36" s="10" t="str">
        <f aca="false">IFERROR(INDEX(Inventory!$B$2:$B$381,MATCH($B36,Inventory!$P$2:$P$381,0)),"")</f>
        <v>74HC32N</v>
      </c>
      <c r="D36" s="10" t="str">
        <f aca="false">IFERROR(INDEX(Inventory!$C$2:$C$381,MATCH($B36,Inventory!$P$2:$P$381,0)),"")</f>
        <v>IC</v>
      </c>
      <c r="E36" s="18" t="str">
        <f aca="false">IFERROR(INDEX(Inventory!$E$2:$E$381,MATCH($B36,Inventory!$P$2:$P$381,0)),"")</f>
        <v>D5</v>
      </c>
      <c r="F36" s="11" t="n">
        <f aca="false">IFERROR(INDEX(Inventory!$H$2:$H$381,MATCH($B36,Inventory!$P$2:$P$381,0)),"")</f>
        <v>1</v>
      </c>
      <c r="G36" s="11" t="n">
        <f aca="false">IFERROR(INDEX(Inventory!$I$2:$I$381,MATCH($B36,Inventory!$P$2:$P$381,0)),"")</f>
        <v>4</v>
      </c>
      <c r="H36" s="19" t="n">
        <f aca="false">IF($C36="","",IF($F36="","count it",MAX(0,$G36-$F36)))</f>
        <v>3</v>
      </c>
      <c r="I36" s="11" t="str">
        <f aca="false">IFERROR(INDEX(Inventory!$J$2:$J$381,MATCH($B36,Inventory!$P$2:$P$381,0)),"")</f>
        <v>Low stock</v>
      </c>
    </row>
    <row r="37" customFormat="false" ht="15" hidden="false" customHeight="false" outlineLevel="0" collapsed="false">
      <c r="B37" s="5" t="n">
        <v>32</v>
      </c>
      <c r="C37" s="10" t="str">
        <f aca="false">IFERROR(INDEX(Inventory!$B$2:$B$381,MATCH($B37,Inventory!$P$2:$P$381,0)),"")</f>
        <v>SP232 AEP</v>
      </c>
      <c r="D37" s="10" t="str">
        <f aca="false">IFERROR(INDEX(Inventory!$C$2:$C$381,MATCH($B37,Inventory!$P$2:$P$381,0)),"")</f>
        <v>IC</v>
      </c>
      <c r="E37" s="18" t="str">
        <f aca="false">IFERROR(INDEX(Inventory!$E$2:$E$381,MATCH($B37,Inventory!$P$2:$P$381,0)),"")</f>
        <v>D6</v>
      </c>
      <c r="F37" s="11" t="n">
        <f aca="false">IFERROR(INDEX(Inventory!$H$2:$H$381,MATCH($B37,Inventory!$P$2:$P$381,0)),"")</f>
        <v>2</v>
      </c>
      <c r="G37" s="11" t="n">
        <f aca="false">IFERROR(INDEX(Inventory!$I$2:$I$381,MATCH($B37,Inventory!$P$2:$P$381,0)),"")</f>
        <v>4</v>
      </c>
      <c r="H37" s="19" t="n">
        <f aca="false">IF($C37="","",IF($F37="","count it",MAX(0,$G37-$F37)))</f>
        <v>2</v>
      </c>
      <c r="I37" s="11" t="str">
        <f aca="false">IFERROR(INDEX(Inventory!$J$2:$J$381,MATCH($B37,Inventory!$P$2:$P$381,0)),"")</f>
        <v>Low stock</v>
      </c>
    </row>
    <row r="38" customFormat="false" ht="15" hidden="false" customHeight="false" outlineLevel="0" collapsed="false">
      <c r="B38" s="5" t="n">
        <v>33</v>
      </c>
      <c r="C38" s="10" t="str">
        <f aca="false">IFERROR(INDEX(Inventory!$B$2:$B$381,MATCH($B38,Inventory!$P$2:$P$381,0)),"")</f>
        <v>LX232N</v>
      </c>
      <c r="D38" s="10" t="str">
        <f aca="false">IFERROR(INDEX(Inventory!$C$2:$C$381,MATCH($B38,Inventory!$P$2:$P$381,0)),"")</f>
        <v>IC</v>
      </c>
      <c r="E38" s="18" t="str">
        <f aca="false">IFERROR(INDEX(Inventory!$E$2:$E$381,MATCH($B38,Inventory!$P$2:$P$381,0)),"")</f>
        <v>D6</v>
      </c>
      <c r="F38" s="11" t="n">
        <f aca="false">IFERROR(INDEX(Inventory!$H$2:$H$381,MATCH($B38,Inventory!$P$2:$P$381,0)),"")</f>
        <v>2</v>
      </c>
      <c r="G38" s="11" t="n">
        <f aca="false">IFERROR(INDEX(Inventory!$I$2:$I$381,MATCH($B38,Inventory!$P$2:$P$381,0)),"")</f>
        <v>4</v>
      </c>
      <c r="H38" s="19" t="n">
        <f aca="false">IF($C38="","",IF($F38="","count it",MAX(0,$G38-$F38)))</f>
        <v>2</v>
      </c>
      <c r="I38" s="11" t="str">
        <f aca="false">IFERROR(INDEX(Inventory!$J$2:$J$381,MATCH($B38,Inventory!$P$2:$P$381,0)),"")</f>
        <v>Low stock</v>
      </c>
    </row>
    <row r="39" customFormat="false" ht="15" hidden="false" customHeight="false" outlineLevel="0" collapsed="false">
      <c r="B39" s="5" t="n">
        <v>34</v>
      </c>
      <c r="C39" s="10" t="str">
        <f aca="false">IFERROR(INDEX(Inventory!$B$2:$B$381,MATCH($B39,Inventory!$P$2:$P$381,0)),"")</f>
        <v>ATmega 16</v>
      </c>
      <c r="D39" s="10" t="str">
        <f aca="false">IFERROR(INDEX(Inventory!$C$2:$C$381,MATCH($B39,Inventory!$P$2:$P$381,0)),"")</f>
        <v>IC</v>
      </c>
      <c r="E39" s="18" t="str">
        <f aca="false">IFERROR(INDEX(Inventory!$E$2:$E$381,MATCH($B39,Inventory!$P$2:$P$381,0)),"")</f>
        <v>D6</v>
      </c>
      <c r="F39" s="11" t="n">
        <f aca="false">IFERROR(INDEX(Inventory!$H$2:$H$381,MATCH($B39,Inventory!$P$2:$P$381,0)),"")</f>
        <v>2</v>
      </c>
      <c r="G39" s="11" t="n">
        <f aca="false">IFERROR(INDEX(Inventory!$I$2:$I$381,MATCH($B39,Inventory!$P$2:$P$381,0)),"")</f>
        <v>4</v>
      </c>
      <c r="H39" s="19" t="n">
        <f aca="false">IF($C39="","",IF($F39="","count it",MAX(0,$G39-$F39)))</f>
        <v>2</v>
      </c>
      <c r="I39" s="11" t="str">
        <f aca="false">IFERROR(INDEX(Inventory!$J$2:$J$381,MATCH($B39,Inventory!$P$2:$P$381,0)),"")</f>
        <v>Low stock</v>
      </c>
    </row>
    <row r="40" customFormat="false" ht="15" hidden="false" customHeight="false" outlineLevel="0" collapsed="false">
      <c r="B40" s="5" t="n">
        <v>35</v>
      </c>
      <c r="C40" s="10" t="str">
        <f aca="false">IFERROR(INDEX(Inventory!$B$2:$B$381,MATCH($B40,Inventory!$P$2:$P$381,0)),"")</f>
        <v>AT89C2051</v>
      </c>
      <c r="D40" s="10" t="str">
        <f aca="false">IFERROR(INDEX(Inventory!$C$2:$C$381,MATCH($B40,Inventory!$P$2:$P$381,0)),"")</f>
        <v>IC</v>
      </c>
      <c r="E40" s="18" t="str">
        <f aca="false">IFERROR(INDEX(Inventory!$E$2:$E$381,MATCH($B40,Inventory!$P$2:$P$381,0)),"")</f>
        <v>D7</v>
      </c>
      <c r="F40" s="11" t="n">
        <f aca="false">IFERROR(INDEX(Inventory!$H$2:$H$381,MATCH($B40,Inventory!$P$2:$P$381,0)),"")</f>
        <v>3</v>
      </c>
      <c r="G40" s="11" t="n">
        <f aca="false">IFERROR(INDEX(Inventory!$I$2:$I$381,MATCH($B40,Inventory!$P$2:$P$381,0)),"")</f>
        <v>4</v>
      </c>
      <c r="H40" s="19" t="n">
        <f aca="false">IF($C40="","",IF($F40="","count it",MAX(0,$G40-$F40)))</f>
        <v>1</v>
      </c>
      <c r="I40" s="11" t="str">
        <f aca="false">IFERROR(INDEX(Inventory!$J$2:$J$381,MATCH($B40,Inventory!$P$2:$P$381,0)),"")</f>
        <v>Low stock</v>
      </c>
    </row>
    <row r="41" customFormat="false" ht="15" hidden="false" customHeight="false" outlineLevel="0" collapsed="false">
      <c r="B41" s="5" t="n">
        <v>36</v>
      </c>
      <c r="C41" s="10" t="str">
        <f aca="false">IFERROR(INDEX(Inventory!$B$2:$B$381,MATCH($B41,Inventory!$P$2:$P$381,0)),"")</f>
        <v>3.5 MM jack</v>
      </c>
      <c r="D41" s="10" t="str">
        <f aca="false">IFERROR(INDEX(Inventory!$C$2:$C$381,MATCH($B41,Inventory!$P$2:$P$381,0)),"")</f>
        <v>Connector</v>
      </c>
      <c r="E41" s="18" t="str">
        <f aca="false">IFERROR(INDEX(Inventory!$E$2:$E$381,MATCH($B41,Inventory!$P$2:$P$381,0)),"")</f>
        <v>E1</v>
      </c>
      <c r="F41" s="11" t="str">
        <f aca="false">IFERROR(INDEX(Inventory!$H$2:$H$381,MATCH($B41,Inventory!$P$2:$P$381,0)),"")</f>
        <v/>
      </c>
      <c r="G41" s="11" t="n">
        <f aca="false">IFERROR(INDEX(Inventory!$I$2:$I$381,MATCH($B41,Inventory!$P$2:$P$381,0)),"")</f>
        <v>4</v>
      </c>
      <c r="H41" s="19" t="str">
        <f aca="false">IF($C41="","",IF($F41="","count it",MAX(0,$G41-$F41)))</f>
        <v>count it</v>
      </c>
      <c r="I41" s="11" t="str">
        <f aca="false">IFERROR(INDEX(Inventory!$J$2:$J$381,MATCH($B41,Inventory!$P$2:$P$381,0)),"")</f>
        <v>Not counted</v>
      </c>
    </row>
    <row r="42" customFormat="false" ht="15" hidden="false" customHeight="false" outlineLevel="0" collapsed="false">
      <c r="B42" s="5" t="n">
        <v>37</v>
      </c>
      <c r="C42" s="10" t="str">
        <f aca="false">IFERROR(INDEX(Inventory!$B$2:$B$381,MATCH($B42,Inventory!$P$2:$P$381,0)),"")</f>
        <v>Female to Female</v>
      </c>
      <c r="D42" s="10" t="str">
        <f aca="false">IFERROR(INDEX(Inventory!$C$2:$C$381,MATCH($B42,Inventory!$P$2:$P$381,0)),"")</f>
        <v>Jumper Wire</v>
      </c>
      <c r="E42" s="18" t="str">
        <f aca="false">IFERROR(INDEX(Inventory!$E$2:$E$381,MATCH($B42,Inventory!$P$2:$P$381,0)),"")</f>
        <v>E4</v>
      </c>
      <c r="F42" s="11" t="str">
        <f aca="false">IFERROR(INDEX(Inventory!$H$2:$H$381,MATCH($B42,Inventory!$P$2:$P$381,0)),"")</f>
        <v/>
      </c>
      <c r="G42" s="11" t="n">
        <f aca="false">IFERROR(INDEX(Inventory!$I$2:$I$381,MATCH($B42,Inventory!$P$2:$P$381,0)),"")</f>
        <v>5</v>
      </c>
      <c r="H42" s="19" t="str">
        <f aca="false">IF($C42="","",IF($F42="","count it",MAX(0,$G42-$F42)))</f>
        <v>count it</v>
      </c>
      <c r="I42" s="11" t="str">
        <f aca="false">IFERROR(INDEX(Inventory!$J$2:$J$381,MATCH($B42,Inventory!$P$2:$P$381,0)),"")</f>
        <v>Not counted</v>
      </c>
    </row>
    <row r="43" customFormat="false" ht="15" hidden="false" customHeight="false" outlineLevel="0" collapsed="false">
      <c r="B43" s="5" t="n">
        <v>38</v>
      </c>
      <c r="C43" s="10" t="str">
        <f aca="false">IFERROR(INDEX(Inventory!$B$2:$B$381,MATCH($B43,Inventory!$P$2:$P$381,0)),"")</f>
        <v>Male to Male</v>
      </c>
      <c r="D43" s="10" t="str">
        <f aca="false">IFERROR(INDEX(Inventory!$C$2:$C$381,MATCH($B43,Inventory!$P$2:$P$381,0)),"")</f>
        <v>Jumper Wire</v>
      </c>
      <c r="E43" s="18" t="str">
        <f aca="false">IFERROR(INDEX(Inventory!$E$2:$E$381,MATCH($B43,Inventory!$P$2:$P$381,0)),"")</f>
        <v>E5</v>
      </c>
      <c r="F43" s="11" t="str">
        <f aca="false">IFERROR(INDEX(Inventory!$H$2:$H$381,MATCH($B43,Inventory!$P$2:$P$381,0)),"")</f>
        <v/>
      </c>
      <c r="G43" s="11" t="n">
        <f aca="false">IFERROR(INDEX(Inventory!$I$2:$I$381,MATCH($B43,Inventory!$P$2:$P$381,0)),"")</f>
        <v>5</v>
      </c>
      <c r="H43" s="19" t="str">
        <f aca="false">IF($C43="","",IF($F43="","count it",MAX(0,$G43-$F43)))</f>
        <v>count it</v>
      </c>
      <c r="I43" s="11" t="str">
        <f aca="false">IFERROR(INDEX(Inventory!$J$2:$J$381,MATCH($B43,Inventory!$P$2:$P$381,0)),"")</f>
        <v>Not counted</v>
      </c>
    </row>
    <row r="44" customFormat="false" ht="15" hidden="false" customHeight="false" outlineLevel="0" collapsed="false">
      <c r="B44" s="5" t="n">
        <v>39</v>
      </c>
      <c r="C44" s="10" t="str">
        <f aca="false">IFERROR(INDEX(Inventory!$B$2:$B$381,MATCH($B44,Inventory!$P$2:$P$381,0)),"")</f>
        <v>Male to Female</v>
      </c>
      <c r="D44" s="10" t="str">
        <f aca="false">IFERROR(INDEX(Inventory!$C$2:$C$381,MATCH($B44,Inventory!$P$2:$P$381,0)),"")</f>
        <v>Jumper Wire</v>
      </c>
      <c r="E44" s="18" t="str">
        <f aca="false">IFERROR(INDEX(Inventory!$E$2:$E$381,MATCH($B44,Inventory!$P$2:$P$381,0)),"")</f>
        <v>E6</v>
      </c>
      <c r="F44" s="11" t="str">
        <f aca="false">IFERROR(INDEX(Inventory!$H$2:$H$381,MATCH($B44,Inventory!$P$2:$P$381,0)),"")</f>
        <v/>
      </c>
      <c r="G44" s="11" t="n">
        <f aca="false">IFERROR(INDEX(Inventory!$I$2:$I$381,MATCH($B44,Inventory!$P$2:$P$381,0)),"")</f>
        <v>5</v>
      </c>
      <c r="H44" s="19" t="str">
        <f aca="false">IF($C44="","",IF($F44="","count it",MAX(0,$G44-$F44)))</f>
        <v>count it</v>
      </c>
      <c r="I44" s="11" t="str">
        <f aca="false">IFERROR(INDEX(Inventory!$J$2:$J$381,MATCH($B44,Inventory!$P$2:$P$381,0)),"")</f>
        <v>Not counted</v>
      </c>
    </row>
    <row r="45" customFormat="false" ht="15" hidden="false" customHeight="false" outlineLevel="0" collapsed="false">
      <c r="B45" s="5" t="n">
        <v>40</v>
      </c>
      <c r="C45" s="10" t="str">
        <f aca="false">IFERROR(INDEX(Inventory!$B$2:$B$381,MATCH($B45,Inventory!$P$2:$P$381,0)),"")</f>
        <v>AC cords and cables</v>
      </c>
      <c r="D45" s="10" t="str">
        <f aca="false">IFERROR(INDEX(Inventory!$C$2:$C$381,MATCH($B45,Inventory!$P$2:$P$381,0)),"")</f>
        <v>Cable</v>
      </c>
      <c r="E45" s="18" t="str">
        <f aca="false">IFERROR(INDEX(Inventory!$E$2:$E$381,MATCH($B45,Inventory!$P$2:$P$381,0)),"")</f>
        <v>G4</v>
      </c>
      <c r="F45" s="11" t="str">
        <f aca="false">IFERROR(INDEX(Inventory!$H$2:$H$381,MATCH($B45,Inventory!$P$2:$P$381,0)),"")</f>
        <v/>
      </c>
      <c r="G45" s="11" t="n">
        <f aca="false">IFERROR(INDEX(Inventory!$I$2:$I$381,MATCH($B45,Inventory!$P$2:$P$381,0)),"")</f>
        <v>2</v>
      </c>
      <c r="H45" s="19" t="str">
        <f aca="false">IF($C45="","",IF($F45="","count it",MAX(0,$G45-$F45)))</f>
        <v>count it</v>
      </c>
      <c r="I45" s="11" t="str">
        <f aca="false">IFERROR(INDEX(Inventory!$J$2:$J$381,MATCH($B45,Inventory!$P$2:$P$381,0)),"")</f>
        <v>Not counted</v>
      </c>
    </row>
    <row r="46" customFormat="false" ht="15" hidden="false" customHeight="false" outlineLevel="0" collapsed="false">
      <c r="B46" s="5" t="n">
        <v>41</v>
      </c>
      <c r="C46" s="10" t="str">
        <f aca="false">IFERROR(INDEX(Inventory!$B$2:$B$381,MATCH($B46,Inventory!$P$2:$P$381,0)),"")</f>
        <v>STM 32 Cable</v>
      </c>
      <c r="D46" s="10" t="str">
        <f aca="false">IFERROR(INDEX(Inventory!$C$2:$C$381,MATCH($B46,Inventory!$P$2:$P$381,0)),"")</f>
        <v>Cable</v>
      </c>
      <c r="E46" s="18" t="str">
        <f aca="false">IFERROR(INDEX(Inventory!$E$2:$E$381,MATCH($B46,Inventory!$P$2:$P$381,0)),"")</f>
        <v>H1</v>
      </c>
      <c r="F46" s="11" t="n">
        <f aca="false">IFERROR(INDEX(Inventory!$H$2:$H$381,MATCH($B46,Inventory!$P$2:$P$381,0)),"")</f>
        <v>1</v>
      </c>
      <c r="G46" s="11" t="n">
        <f aca="false">IFERROR(INDEX(Inventory!$I$2:$I$381,MATCH($B46,Inventory!$P$2:$P$381,0)),"")</f>
        <v>2</v>
      </c>
      <c r="H46" s="19" t="n">
        <f aca="false">IF($C46="","",IF($F46="","count it",MAX(0,$G46-$F46)))</f>
        <v>1</v>
      </c>
      <c r="I46" s="11" t="str">
        <f aca="false">IFERROR(INDEX(Inventory!$J$2:$J$381,MATCH($B46,Inventory!$P$2:$P$381,0)),"")</f>
        <v>Low stock</v>
      </c>
    </row>
    <row r="47" customFormat="false" ht="15" hidden="false" customHeight="false" outlineLevel="0" collapsed="false">
      <c r="B47" s="5" t="n">
        <v>42</v>
      </c>
      <c r="C47" s="10" t="str">
        <f aca="false">IFERROR(INDEX(Inventory!$B$2:$B$381,MATCH($B47,Inventory!$P$2:$P$381,0)),"")</f>
        <v>JST connector</v>
      </c>
      <c r="D47" s="10" t="str">
        <f aca="false">IFERROR(INDEX(Inventory!$C$2:$C$381,MATCH($B47,Inventory!$P$2:$P$381,0)),"")</f>
        <v>Connector</v>
      </c>
      <c r="E47" s="18" t="str">
        <f aca="false">IFERROR(INDEX(Inventory!$E$2:$E$381,MATCH($B47,Inventory!$P$2:$P$381,0)),"")</f>
        <v>H2</v>
      </c>
      <c r="F47" s="11" t="str">
        <f aca="false">IFERROR(INDEX(Inventory!$H$2:$H$381,MATCH($B47,Inventory!$P$2:$P$381,0)),"")</f>
        <v/>
      </c>
      <c r="G47" s="11" t="n">
        <f aca="false">IFERROR(INDEX(Inventory!$I$2:$I$381,MATCH($B47,Inventory!$P$2:$P$381,0)),"")</f>
        <v>4</v>
      </c>
      <c r="H47" s="19" t="str">
        <f aca="false">IF($C47="","",IF($F47="","count it",MAX(0,$G47-$F47)))</f>
        <v>count it</v>
      </c>
      <c r="I47" s="11" t="str">
        <f aca="false">IFERROR(INDEX(Inventory!$J$2:$J$381,MATCH($B47,Inventory!$P$2:$P$381,0)),"")</f>
        <v>Not counted</v>
      </c>
    </row>
    <row r="48" customFormat="false" ht="15" hidden="false" customHeight="false" outlineLevel="0" collapsed="false">
      <c r="B48" s="5" t="n">
        <v>43</v>
      </c>
      <c r="C48" s="10" t="str">
        <f aca="false">IFERROR(INDEX(Inventory!$B$2:$B$381,MATCH($B48,Inventory!$P$2:$P$381,0)),"")</f>
        <v>9V Adapter</v>
      </c>
      <c r="D48" s="10" t="str">
        <f aca="false">IFERROR(INDEX(Inventory!$C$2:$C$381,MATCH($B48,Inventory!$P$2:$P$381,0)),"")</f>
        <v>Power</v>
      </c>
      <c r="E48" s="18" t="str">
        <f aca="false">IFERROR(INDEX(Inventory!$E$2:$E$381,MATCH($B48,Inventory!$P$2:$P$381,0)),"")</f>
        <v>ADAPTER BOX</v>
      </c>
      <c r="F48" s="11" t="n">
        <f aca="false">IFERROR(INDEX(Inventory!$H$2:$H$381,MATCH($B48,Inventory!$P$2:$P$381,0)),"")</f>
        <v>1</v>
      </c>
      <c r="G48" s="11" t="n">
        <f aca="false">IFERROR(INDEX(Inventory!$I$2:$I$381,MATCH($B48,Inventory!$P$2:$P$381,0)),"")</f>
        <v>2</v>
      </c>
      <c r="H48" s="19" t="n">
        <f aca="false">IF($C48="","",IF($F48="","count it",MAX(0,$G48-$F48)))</f>
        <v>1</v>
      </c>
      <c r="I48" s="11" t="str">
        <f aca="false">IFERROR(INDEX(Inventory!$J$2:$J$381,MATCH($B48,Inventory!$P$2:$P$381,0)),"")</f>
        <v>Low stock</v>
      </c>
    </row>
    <row r="49" customFormat="false" ht="15" hidden="false" customHeight="false" outlineLevel="0" collapsed="false">
      <c r="B49" s="5" t="n">
        <v>44</v>
      </c>
      <c r="C49" s="10" t="str">
        <f aca="false">IFERROR(INDEX(Inventory!$B$2:$B$381,MATCH($B49,Inventory!$P$2:$P$381,0)),"")</f>
        <v>14V Adapter</v>
      </c>
      <c r="D49" s="10" t="str">
        <f aca="false">IFERROR(INDEX(Inventory!$C$2:$C$381,MATCH($B49,Inventory!$P$2:$P$381,0)),"")</f>
        <v>Power</v>
      </c>
      <c r="E49" s="18" t="str">
        <f aca="false">IFERROR(INDEX(Inventory!$E$2:$E$381,MATCH($B49,Inventory!$P$2:$P$381,0)),"")</f>
        <v>ADAPTER BOX</v>
      </c>
      <c r="F49" s="11" t="n">
        <f aca="false">IFERROR(INDEX(Inventory!$H$2:$H$381,MATCH($B49,Inventory!$P$2:$P$381,0)),"")</f>
        <v>1</v>
      </c>
      <c r="G49" s="11" t="n">
        <f aca="false">IFERROR(INDEX(Inventory!$I$2:$I$381,MATCH($B49,Inventory!$P$2:$P$381,0)),"")</f>
        <v>2</v>
      </c>
      <c r="H49" s="19" t="n">
        <f aca="false">IF($C49="","",IF($F49="","count it",MAX(0,$G49-$F49)))</f>
        <v>1</v>
      </c>
      <c r="I49" s="11" t="str">
        <f aca="false">IFERROR(INDEX(Inventory!$J$2:$J$381,MATCH($B49,Inventory!$P$2:$P$381,0)),"")</f>
        <v>Low stock</v>
      </c>
    </row>
    <row r="50" customFormat="false" ht="15" hidden="false" customHeight="false" outlineLevel="0" collapsed="false">
      <c r="B50" s="5" t="n">
        <v>45</v>
      </c>
      <c r="C50" s="10" t="str">
        <f aca="false">IFERROR(INDEX(Inventory!$B$2:$B$381,MATCH($B50,Inventory!$P$2:$P$381,0)),"")</f>
        <v>3.7V 1250 mAh Battery</v>
      </c>
      <c r="D50" s="10" t="str">
        <f aca="false">IFERROR(INDEX(Inventory!$C$2:$C$381,MATCH($B50,Inventory!$P$2:$P$381,0)),"")</f>
        <v>Battery</v>
      </c>
      <c r="E50" s="18" t="str">
        <f aca="false">IFERROR(INDEX(Inventory!$E$2:$E$381,MATCH($B50,Inventory!$P$2:$P$381,0)),"")</f>
        <v>SMD BOX</v>
      </c>
      <c r="F50" s="11" t="n">
        <f aca="false">IFERROR(INDEX(Inventory!$H$2:$H$381,MATCH($B50,Inventory!$P$2:$P$381,0)),"")</f>
        <v>1</v>
      </c>
      <c r="G50" s="11" t="n">
        <f aca="false">IFERROR(INDEX(Inventory!$I$2:$I$381,MATCH($B50,Inventory!$P$2:$P$381,0)),"")</f>
        <v>2</v>
      </c>
      <c r="H50" s="19" t="n">
        <f aca="false">IF($C50="","",IF($F50="","count it",MAX(0,$G50-$F50)))</f>
        <v>1</v>
      </c>
      <c r="I50" s="11" t="str">
        <f aca="false">IFERROR(INDEX(Inventory!$J$2:$J$381,MATCH($B50,Inventory!$P$2:$P$381,0)),"")</f>
        <v>Low stock</v>
      </c>
    </row>
    <row r="51" customFormat="false" ht="15" hidden="false" customHeight="false" outlineLevel="0" collapsed="false">
      <c r="B51" s="5" t="n">
        <v>46</v>
      </c>
      <c r="C51" s="10" t="str">
        <f aca="false">IFERROR(INDEX(Inventory!$B$2:$B$381,MATCH($B51,Inventory!$P$2:$P$381,0)),"")</f>
        <v>3.7V 400 mAh Battery</v>
      </c>
      <c r="D51" s="10" t="str">
        <f aca="false">IFERROR(INDEX(Inventory!$C$2:$C$381,MATCH($B51,Inventory!$P$2:$P$381,0)),"")</f>
        <v>Battery</v>
      </c>
      <c r="E51" s="18" t="str">
        <f aca="false">IFERROR(INDEX(Inventory!$E$2:$E$381,MATCH($B51,Inventory!$P$2:$P$381,0)),"")</f>
        <v>SMD BOX</v>
      </c>
      <c r="F51" s="11" t="n">
        <f aca="false">IFERROR(INDEX(Inventory!$H$2:$H$381,MATCH($B51,Inventory!$P$2:$P$381,0)),"")</f>
        <v>1</v>
      </c>
      <c r="G51" s="11" t="n">
        <f aca="false">IFERROR(INDEX(Inventory!$I$2:$I$381,MATCH($B51,Inventory!$P$2:$P$381,0)),"")</f>
        <v>2</v>
      </c>
      <c r="H51" s="19" t="n">
        <f aca="false">IF($C51="","",IF($F51="","count it",MAX(0,$G51-$F51)))</f>
        <v>1</v>
      </c>
      <c r="I51" s="11" t="str">
        <f aca="false">IFERROR(INDEX(Inventory!$J$2:$J$381,MATCH($B51,Inventory!$P$2:$P$381,0)),"")</f>
        <v>Low stock</v>
      </c>
    </row>
    <row r="52" customFormat="false" ht="15" hidden="false" customHeight="false" outlineLevel="0" collapsed="false">
      <c r="B52" s="5" t="n">
        <v>47</v>
      </c>
      <c r="C52" s="10" t="str">
        <f aca="false">IFERROR(INDEX(Inventory!$B$2:$B$381,MATCH($B52,Inventory!$P$2:$P$381,0)),"")</f>
        <v>60GHz mmwave Radar Sensor Module</v>
      </c>
      <c r="D52" s="10" t="str">
        <f aca="false">IFERROR(INDEX(Inventory!$C$2:$C$381,MATCH($B52,Inventory!$P$2:$P$381,0)),"")</f>
        <v>Module</v>
      </c>
      <c r="E52" s="18" t="str">
        <f aca="false">IFERROR(INDEX(Inventory!$E$2:$E$381,MATCH($B52,Inventory!$P$2:$P$381,0)),"")</f>
        <v>SMD BOX</v>
      </c>
      <c r="F52" s="11" t="n">
        <f aca="false">IFERROR(INDEX(Inventory!$H$2:$H$381,MATCH($B52,Inventory!$P$2:$P$381,0)),"")</f>
        <v>1</v>
      </c>
      <c r="G52" s="11" t="n">
        <f aca="false">IFERROR(INDEX(Inventory!$I$2:$I$381,MATCH($B52,Inventory!$P$2:$P$381,0)),"")</f>
        <v>2</v>
      </c>
      <c r="H52" s="19" t="n">
        <f aca="false">IF($C52="","",IF($F52="","count it",MAX(0,$G52-$F52)))</f>
        <v>1</v>
      </c>
      <c r="I52" s="11" t="str">
        <f aca="false">IFERROR(INDEX(Inventory!$J$2:$J$381,MATCH($B52,Inventory!$P$2:$P$381,0)),"")</f>
        <v>Low stock</v>
      </c>
    </row>
    <row r="53" customFormat="false" ht="15" hidden="false" customHeight="false" outlineLevel="0" collapsed="false">
      <c r="B53" s="5" t="n">
        <v>48</v>
      </c>
      <c r="C53" s="10" t="str">
        <f aca="false">IFERROR(INDEX(Inventory!$B$2:$B$381,MATCH($B53,Inventory!$P$2:$P$381,0)),"")</f>
        <v>XL Nozzle Kit for air pump</v>
      </c>
      <c r="D53" s="10" t="str">
        <f aca="false">IFERROR(INDEX(Inventory!$C$2:$C$381,MATCH($B53,Inventory!$P$2:$P$381,0)),"")</f>
        <v>Hardware</v>
      </c>
      <c r="E53" s="18" t="str">
        <f aca="false">IFERROR(INDEX(Inventory!$E$2:$E$381,MATCH($B53,Inventory!$P$2:$P$381,0)),"")</f>
        <v>SMD BOX</v>
      </c>
      <c r="F53" s="11" t="n">
        <f aca="false">IFERROR(INDEX(Inventory!$H$2:$H$381,MATCH($B53,Inventory!$P$2:$P$381,0)),"")</f>
        <v>3</v>
      </c>
      <c r="G53" s="11" t="n">
        <f aca="false">IFERROR(INDEX(Inventory!$I$2:$I$381,MATCH($B53,Inventory!$P$2:$P$381,0)),"")</f>
        <v>5</v>
      </c>
      <c r="H53" s="19" t="n">
        <f aca="false">IF($C53="","",IF($F53="","count it",MAX(0,$G53-$F53)))</f>
        <v>2</v>
      </c>
      <c r="I53" s="11" t="str">
        <f aca="false">IFERROR(INDEX(Inventory!$J$2:$J$381,MATCH($B53,Inventory!$P$2:$P$381,0)),"")</f>
        <v>Low stock</v>
      </c>
    </row>
    <row r="54" customFormat="false" ht="15" hidden="false" customHeight="false" outlineLevel="0" collapsed="false">
      <c r="B54" s="5" t="n">
        <v>49</v>
      </c>
      <c r="C54" s="10" t="str">
        <f aca="false">IFERROR(INDEX(Inventory!$B$2:$B$381,MATCH($B54,Inventory!$P$2:$P$381,0)),"")</f>
        <v>USB TTL Converter</v>
      </c>
      <c r="D54" s="10" t="str">
        <f aca="false">IFERROR(INDEX(Inventory!$C$2:$C$381,MATCH($B54,Inventory!$P$2:$P$381,0)),"")</f>
        <v>Module</v>
      </c>
      <c r="E54" s="18" t="str">
        <f aca="false">IFERROR(INDEX(Inventory!$E$2:$E$381,MATCH($B54,Inventory!$P$2:$P$381,0)),"")</f>
        <v>SMD BOX</v>
      </c>
      <c r="F54" s="11" t="n">
        <f aca="false">IFERROR(INDEX(Inventory!$H$2:$H$381,MATCH($B54,Inventory!$P$2:$P$381,0)),"")</f>
        <v>1</v>
      </c>
      <c r="G54" s="11" t="n">
        <f aca="false">IFERROR(INDEX(Inventory!$I$2:$I$381,MATCH($B54,Inventory!$P$2:$P$381,0)),"")</f>
        <v>2</v>
      </c>
      <c r="H54" s="19" t="n">
        <f aca="false">IF($C54="","",IF($F54="","count it",MAX(0,$G54-$F54)))</f>
        <v>1</v>
      </c>
      <c r="I54" s="11" t="str">
        <f aca="false">IFERROR(INDEX(Inventory!$J$2:$J$381,MATCH($B54,Inventory!$P$2:$P$381,0)),"")</f>
        <v>Low stock</v>
      </c>
    </row>
    <row r="55" customFormat="false" ht="15" hidden="false" customHeight="false" outlineLevel="0" collapsed="false">
      <c r="B55" s="5" t="n">
        <v>50</v>
      </c>
      <c r="C55" s="10" t="str">
        <f aca="false">IFERROR(INDEX(Inventory!$B$2:$B$381,MATCH($B55,Inventory!$P$2:$P$381,0)),"")</f>
        <v>Heat Sink</v>
      </c>
      <c r="D55" s="10" t="str">
        <f aca="false">IFERROR(INDEX(Inventory!$C$2:$C$381,MATCH($B55,Inventory!$P$2:$P$381,0)),"")</f>
        <v>Heat Sink</v>
      </c>
      <c r="E55" s="18" t="str">
        <f aca="false">IFERROR(INDEX(Inventory!$E$2:$E$381,MATCH($B55,Inventory!$P$2:$P$381,0)),"")</f>
        <v>SMD BOX</v>
      </c>
      <c r="F55" s="11" t="n">
        <f aca="false">IFERROR(INDEX(Inventory!$H$2:$H$381,MATCH($B55,Inventory!$P$2:$P$381,0)),"")</f>
        <v>2</v>
      </c>
      <c r="G55" s="11" t="n">
        <f aca="false">IFERROR(INDEX(Inventory!$I$2:$I$381,MATCH($B55,Inventory!$P$2:$P$381,0)),"")</f>
        <v>4</v>
      </c>
      <c r="H55" s="19" t="n">
        <f aca="false">IF($C55="","",IF($F55="","count it",MAX(0,$G55-$F55)))</f>
        <v>2</v>
      </c>
      <c r="I55" s="11" t="str">
        <f aca="false">IFERROR(INDEX(Inventory!$J$2:$J$381,MATCH($B55,Inventory!$P$2:$P$381,0)),"")</f>
        <v>Low stock</v>
      </c>
    </row>
    <row r="56" customFormat="false" ht="15" hidden="false" customHeight="false" outlineLevel="0" collapsed="false">
      <c r="B56" s="5" t="n">
        <v>51</v>
      </c>
      <c r="C56" s="10" t="str">
        <f aca="false">IFERROR(INDEX(Inventory!$B$2:$B$381,MATCH($B56,Inventory!$P$2:$P$381,0)),"")</f>
        <v>Jumper Female Head</v>
      </c>
      <c r="D56" s="10" t="str">
        <f aca="false">IFERROR(INDEX(Inventory!$C$2:$C$381,MATCH($B56,Inventory!$P$2:$P$381,0)),"")</f>
        <v>Jumper Wire</v>
      </c>
      <c r="E56" s="18" t="str">
        <f aca="false">IFERROR(INDEX(Inventory!$E$2:$E$381,MATCH($B56,Inventory!$P$2:$P$381,0)),"")</f>
        <v>SMD BOX</v>
      </c>
      <c r="F56" s="11" t="n">
        <f aca="false">IFERROR(INDEX(Inventory!$H$2:$H$381,MATCH($B56,Inventory!$P$2:$P$381,0)),"")</f>
        <v>2</v>
      </c>
      <c r="G56" s="11" t="n">
        <f aca="false">IFERROR(INDEX(Inventory!$I$2:$I$381,MATCH($B56,Inventory!$P$2:$P$381,0)),"")</f>
        <v>5</v>
      </c>
      <c r="H56" s="19" t="n">
        <f aca="false">IF($C56="","",IF($F56="","count it",MAX(0,$G56-$F56)))</f>
        <v>3</v>
      </c>
      <c r="I56" s="11" t="str">
        <f aca="false">IFERROR(INDEX(Inventory!$J$2:$J$381,MATCH($B56,Inventory!$P$2:$P$381,0)),"")</f>
        <v>Low stock</v>
      </c>
    </row>
    <row r="57" customFormat="false" ht="15" hidden="false" customHeight="false" outlineLevel="0" collapsed="false">
      <c r="B57" s="5" t="n">
        <v>52</v>
      </c>
      <c r="C57" s="10" t="str">
        <f aca="false">IFERROR(INDEX(Inventory!$B$2:$B$381,MATCH($B57,Inventory!$P$2:$P$381,0)),"")</f>
        <v>724834-C_13 (World's Lowest Power)</v>
      </c>
      <c r="D57" s="10" t="str">
        <f aca="false">IFERROR(INDEX(Inventory!$C$2:$C$381,MATCH($B57,Inventory!$P$2:$P$381,0)),"")</f>
        <v>IC</v>
      </c>
      <c r="E57" s="18" t="str">
        <f aca="false">IFERROR(INDEX(Inventory!$E$2:$E$381,MATCH($B57,Inventory!$P$2:$P$381,0)),"")</f>
        <v>SMD BOX</v>
      </c>
      <c r="F57" s="11" t="n">
        <f aca="false">IFERROR(INDEX(Inventory!$H$2:$H$381,MATCH($B57,Inventory!$P$2:$P$381,0)),"")</f>
        <v>0</v>
      </c>
      <c r="G57" s="11" t="n">
        <f aca="false">IFERROR(INDEX(Inventory!$I$2:$I$381,MATCH($B57,Inventory!$P$2:$P$381,0)),"")</f>
        <v>4</v>
      </c>
      <c r="H57" s="19" t="n">
        <f aca="false">IF($C57="","",IF($F57="","count it",MAX(0,$G57-$F57)))</f>
        <v>4</v>
      </c>
      <c r="I57" s="11" t="str">
        <f aca="false">IFERROR(INDEX(Inventory!$J$2:$J$381,MATCH($B57,Inventory!$P$2:$P$381,0)),"")</f>
        <v>Out of stock</v>
      </c>
    </row>
    <row r="58" customFormat="false" ht="15" hidden="false" customHeight="false" outlineLevel="0" collapsed="false">
      <c r="B58" s="5" t="n">
        <v>53</v>
      </c>
      <c r="C58" s="10" t="str">
        <f aca="false">IFERROR(INDEX(Inventory!$B$2:$B$381,MATCH($B58,Inventory!$P$2:$P$381,0)),"")</f>
        <v>WS2812B - 2020 - Addressable RGB Pixel Led</v>
      </c>
      <c r="D58" s="10" t="str">
        <f aca="false">IFERROR(INDEX(Inventory!$C$2:$C$381,MATCH($B58,Inventory!$P$2:$P$381,0)),"")</f>
        <v>LED</v>
      </c>
      <c r="E58" s="18" t="str">
        <f aca="false">IFERROR(INDEX(Inventory!$E$2:$E$381,MATCH($B58,Inventory!$P$2:$P$381,0)),"")</f>
        <v>SMD BOX</v>
      </c>
      <c r="F58" s="11" t="n">
        <f aca="false">IFERROR(INDEX(Inventory!$H$2:$H$381,MATCH($B58,Inventory!$P$2:$P$381,0)),"")</f>
        <v>3</v>
      </c>
      <c r="G58" s="11" t="n">
        <f aca="false">IFERROR(INDEX(Inventory!$I$2:$I$381,MATCH($B58,Inventory!$P$2:$P$381,0)),"")</f>
        <v>5</v>
      </c>
      <c r="H58" s="19" t="n">
        <f aca="false">IF($C58="","",IF($F58="","count it",MAX(0,$G58-$F58)))</f>
        <v>2</v>
      </c>
      <c r="I58" s="11" t="str">
        <f aca="false">IFERROR(INDEX(Inventory!$J$2:$J$381,MATCH($B58,Inventory!$P$2:$P$381,0)),"")</f>
        <v>Low stock</v>
      </c>
    </row>
    <row r="59" customFormat="false" ht="15" hidden="false" customHeight="false" outlineLevel="0" collapsed="false">
      <c r="B59" s="5" t="n">
        <v>54</v>
      </c>
      <c r="C59" s="10" t="str">
        <f aca="false">IFERROR(INDEX(Inventory!$B$2:$B$381,MATCH($B59,Inventory!$P$2:$P$381,0)),"")</f>
        <v>652 - CDSOD323 - T05LC (TVS Diode)</v>
      </c>
      <c r="D59" s="10" t="str">
        <f aca="false">IFERROR(INDEX(Inventory!$C$2:$C$381,MATCH($B59,Inventory!$P$2:$P$381,0)),"")</f>
        <v>Diode</v>
      </c>
      <c r="E59" s="18" t="str">
        <f aca="false">IFERROR(INDEX(Inventory!$E$2:$E$381,MATCH($B59,Inventory!$P$2:$P$381,0)),"")</f>
        <v>SMD BOX</v>
      </c>
      <c r="F59" s="11" t="n">
        <f aca="false">IFERROR(INDEX(Inventory!$H$2:$H$381,MATCH($B59,Inventory!$P$2:$P$381,0)),"")</f>
        <v>0</v>
      </c>
      <c r="G59" s="11" t="n">
        <f aca="false">IFERROR(INDEX(Inventory!$I$2:$I$381,MATCH($B59,Inventory!$P$2:$P$381,0)),"")</f>
        <v>5</v>
      </c>
      <c r="H59" s="19" t="n">
        <f aca="false">IF($C59="","",IF($F59="","count it",MAX(0,$G59-$F59)))</f>
        <v>5</v>
      </c>
      <c r="I59" s="11" t="str">
        <f aca="false">IFERROR(INDEX(Inventory!$J$2:$J$381,MATCH($B59,Inventory!$P$2:$P$381,0)),"")</f>
        <v>Out of stock</v>
      </c>
    </row>
    <row r="60" customFormat="false" ht="15" hidden="false" customHeight="false" outlineLevel="0" collapsed="false">
      <c r="B60" s="5" t="n">
        <v>55</v>
      </c>
      <c r="C60" s="10" t="str">
        <f aca="false">IFERROR(INDEX(Inventory!$B$2:$B$381,MATCH($B60,Inventory!$P$2:$P$381,0)),"")</f>
        <v>PM20631</v>
      </c>
      <c r="D60" s="10" t="str">
        <f aca="false">IFERROR(INDEX(Inventory!$C$2:$C$381,MATCH($B60,Inventory!$P$2:$P$381,0)),"")</f>
        <v>Misc</v>
      </c>
      <c r="E60" s="18" t="str">
        <f aca="false">IFERROR(INDEX(Inventory!$E$2:$E$381,MATCH($B60,Inventory!$P$2:$P$381,0)),"")</f>
        <v>SMD BOX</v>
      </c>
      <c r="F60" s="11" t="n">
        <f aca="false">IFERROR(INDEX(Inventory!$H$2:$H$381,MATCH($B60,Inventory!$P$2:$P$381,0)),"")</f>
        <v>0</v>
      </c>
      <c r="G60" s="11" t="n">
        <f aca="false">IFERROR(INDEX(Inventory!$I$2:$I$381,MATCH($B60,Inventory!$P$2:$P$381,0)),"")</f>
        <v>2</v>
      </c>
      <c r="H60" s="19" t="n">
        <f aca="false">IF($C60="","",IF($F60="","count it",MAX(0,$G60-$F60)))</f>
        <v>2</v>
      </c>
      <c r="I60" s="11" t="str">
        <f aca="false">IFERROR(INDEX(Inventory!$J$2:$J$381,MATCH($B60,Inventory!$P$2:$P$381,0)),"")</f>
        <v>Out of stock</v>
      </c>
    </row>
    <row r="61" customFormat="false" ht="15" hidden="false" customHeight="false" outlineLevel="0" collapsed="false">
      <c r="B61" s="5" t="n">
        <v>56</v>
      </c>
      <c r="C61" s="10" t="str">
        <f aca="false">IFERROR(INDEX(Inventory!$B$2:$B$381,MATCH($B61,Inventory!$P$2:$P$381,0)),"")</f>
        <v>NCP176AMX330TCG (IC REG LINER 3.3V 500MA 6-XDFN)</v>
      </c>
      <c r="D61" s="10" t="str">
        <f aca="false">IFERROR(INDEX(Inventory!$C$2:$C$381,MATCH($B61,Inventory!$P$2:$P$381,0)),"")</f>
        <v>Resistor</v>
      </c>
      <c r="E61" s="18" t="str">
        <f aca="false">IFERROR(INDEX(Inventory!$E$2:$E$381,MATCH($B61,Inventory!$P$2:$P$381,0)),"")</f>
        <v>SMD BOX</v>
      </c>
      <c r="F61" s="11" t="n">
        <f aca="false">IFERROR(INDEX(Inventory!$H$2:$H$381,MATCH($B61,Inventory!$P$2:$P$381,0)),"")</f>
        <v>0</v>
      </c>
      <c r="G61" s="11" t="n">
        <f aca="false">IFERROR(INDEX(Inventory!$I$2:$I$381,MATCH($B61,Inventory!$P$2:$P$381,0)),"")</f>
        <v>10</v>
      </c>
      <c r="H61" s="19" t="n">
        <f aca="false">IF($C61="","",IF($F61="","count it",MAX(0,$G61-$F61)))</f>
        <v>10</v>
      </c>
      <c r="I61" s="11" t="str">
        <f aca="false">IFERROR(INDEX(Inventory!$J$2:$J$381,MATCH($B61,Inventory!$P$2:$P$381,0)),"")</f>
        <v>Out of stock</v>
      </c>
    </row>
    <row r="62" customFormat="false" ht="15" hidden="false" customHeight="false" outlineLevel="0" collapsed="false">
      <c r="B62" s="5" t="n">
        <v>57</v>
      </c>
      <c r="C62" s="10" t="str">
        <f aca="false">IFERROR(INDEX(Inventory!$B$2:$B$381,MATCH($B62,Inventory!$P$2:$P$381,0)),"")</f>
        <v>W250512JVBIQ-ND (IC Flash 512MBIT SPI 24TFBGA)</v>
      </c>
      <c r="D62" s="10" t="str">
        <f aca="false">IFERROR(INDEX(Inventory!$C$2:$C$381,MATCH($B62,Inventory!$P$2:$P$381,0)),"")</f>
        <v>IC</v>
      </c>
      <c r="E62" s="18" t="str">
        <f aca="false">IFERROR(INDEX(Inventory!$E$2:$E$381,MATCH($B62,Inventory!$P$2:$P$381,0)),"")</f>
        <v>SMD BOX</v>
      </c>
      <c r="F62" s="11" t="n">
        <f aca="false">IFERROR(INDEX(Inventory!$H$2:$H$381,MATCH($B62,Inventory!$P$2:$P$381,0)),"")</f>
        <v>0</v>
      </c>
      <c r="G62" s="11" t="n">
        <f aca="false">IFERROR(INDEX(Inventory!$I$2:$I$381,MATCH($B62,Inventory!$P$2:$P$381,0)),"")</f>
        <v>4</v>
      </c>
      <c r="H62" s="19" t="n">
        <f aca="false">IF($C62="","",IF($F62="","count it",MAX(0,$G62-$F62)))</f>
        <v>4</v>
      </c>
      <c r="I62" s="11" t="str">
        <f aca="false">IFERROR(INDEX(Inventory!$J$2:$J$381,MATCH($B62,Inventory!$P$2:$P$381,0)),"")</f>
        <v>Out of stock</v>
      </c>
    </row>
    <row r="63" customFormat="false" ht="15" hidden="false" customHeight="false" outlineLevel="0" collapsed="false">
      <c r="B63" s="5" t="n">
        <v>58</v>
      </c>
      <c r="C63" s="10" t="str">
        <f aca="false">IFERROR(INDEX(Inventory!$B$2:$B$381,MATCH($B63,Inventory!$P$2:$P$381,0)),"")</f>
        <v>TX0104EYZTR (IC XLTR VL BIDIR 12-DSBGA)</v>
      </c>
      <c r="D63" s="10" t="str">
        <f aca="false">IFERROR(INDEX(Inventory!$C$2:$C$381,MATCH($B63,Inventory!$P$2:$P$381,0)),"")</f>
        <v>Transistor</v>
      </c>
      <c r="E63" s="18" t="str">
        <f aca="false">IFERROR(INDEX(Inventory!$E$2:$E$381,MATCH($B63,Inventory!$P$2:$P$381,0)),"")</f>
        <v>SMD BOX</v>
      </c>
      <c r="F63" s="11" t="n">
        <f aca="false">IFERROR(INDEX(Inventory!$H$2:$H$381,MATCH($B63,Inventory!$P$2:$P$381,0)),"")</f>
        <v>0</v>
      </c>
      <c r="G63" s="11" t="n">
        <f aca="false">IFERROR(INDEX(Inventory!$I$2:$I$381,MATCH($B63,Inventory!$P$2:$P$381,0)),"")</f>
        <v>4</v>
      </c>
      <c r="H63" s="19" t="n">
        <f aca="false">IF($C63="","",IF($F63="","count it",MAX(0,$G63-$F63)))</f>
        <v>4</v>
      </c>
      <c r="I63" s="11" t="str">
        <f aca="false">IFERROR(INDEX(Inventory!$J$2:$J$381,MATCH($B63,Inventory!$P$2:$P$381,0)),"")</f>
        <v>Out of stock</v>
      </c>
    </row>
    <row r="64" customFormat="false" ht="15" hidden="false" customHeight="false" outlineLevel="0" collapsed="false">
      <c r="B64" s="5" t="n">
        <v>59</v>
      </c>
      <c r="C64" s="10" t="str">
        <f aca="false">IFERROR(INDEX(Inventory!$B$2:$B$381,MATCH($B64,Inventory!$P$2:$P$381,0)),"")</f>
        <v>LQG15HS3N9B02D ( Fixed IND 3.9NH 750MA 0.14Ω SM)</v>
      </c>
      <c r="D64" s="10" t="str">
        <f aca="false">IFERROR(INDEX(Inventory!$C$2:$C$381,MATCH($B64,Inventory!$P$2:$P$381,0)),"")</f>
        <v>Resistor</v>
      </c>
      <c r="E64" s="18" t="str">
        <f aca="false">IFERROR(INDEX(Inventory!$E$2:$E$381,MATCH($B64,Inventory!$P$2:$P$381,0)),"")</f>
        <v>SMD BOX</v>
      </c>
      <c r="F64" s="11" t="n">
        <f aca="false">IFERROR(INDEX(Inventory!$H$2:$H$381,MATCH($B64,Inventory!$P$2:$P$381,0)),"")</f>
        <v>5</v>
      </c>
      <c r="G64" s="11" t="n">
        <f aca="false">IFERROR(INDEX(Inventory!$I$2:$I$381,MATCH($B64,Inventory!$P$2:$P$381,0)),"")</f>
        <v>10</v>
      </c>
      <c r="H64" s="19" t="n">
        <f aca="false">IF($C64="","",IF($F64="","count it",MAX(0,$G64-$F64)))</f>
        <v>5</v>
      </c>
      <c r="I64" s="11" t="str">
        <f aca="false">IFERROR(INDEX(Inventory!$J$2:$J$381,MATCH($B64,Inventory!$P$2:$P$381,0)),"")</f>
        <v>Low stock</v>
      </c>
    </row>
    <row r="65" customFormat="false" ht="15" hidden="false" customHeight="false" outlineLevel="0" collapsed="false">
      <c r="B65" s="5" t="n">
        <v>60</v>
      </c>
      <c r="C65" s="10" t="str">
        <f aca="false">IFERROR(INDEX(Inventory!$B$2:$B$381,MATCH($B65,Inventory!$P$2:$P$381,0)),"")</f>
        <v>CC042JRNP09BN120 ( CAP CER 12PF 50V COG/NPO 0402)</v>
      </c>
      <c r="D65" s="10" t="str">
        <f aca="false">IFERROR(INDEX(Inventory!$C$2:$C$381,MATCH($B65,Inventory!$P$2:$P$381,0)),"")</f>
        <v>Capacitor</v>
      </c>
      <c r="E65" s="18" t="str">
        <f aca="false">IFERROR(INDEX(Inventory!$E$2:$E$381,MATCH($B65,Inventory!$P$2:$P$381,0)),"")</f>
        <v>SMD BOX</v>
      </c>
      <c r="F65" s="11" t="n">
        <f aca="false">IFERROR(INDEX(Inventory!$H$2:$H$381,MATCH($B65,Inventory!$P$2:$P$381,0)),"")</f>
        <v>0</v>
      </c>
      <c r="G65" s="11" t="n">
        <f aca="false">IFERROR(INDEX(Inventory!$I$2:$I$381,MATCH($B65,Inventory!$P$2:$P$381,0)),"")</f>
        <v>10</v>
      </c>
      <c r="H65" s="19" t="n">
        <f aca="false">IF($C65="","",IF($F65="","count it",MAX(0,$G65-$F65)))</f>
        <v>10</v>
      </c>
      <c r="I65" s="11" t="str">
        <f aca="false">IFERROR(INDEX(Inventory!$J$2:$J$381,MATCH($B65,Inventory!$P$2:$P$381,0)),"")</f>
        <v>Out of stock</v>
      </c>
    </row>
    <row r="66" customFormat="false" ht="15" hidden="false" customHeight="false" outlineLevel="0" collapsed="false">
      <c r="B66" s="5" t="n">
        <v>61</v>
      </c>
      <c r="C66" s="10" t="str">
        <f aca="false">IFERROR(INDEX(Inventory!$B$2:$B$381,MATCH($B66,Inventory!$P$2:$P$381,0)),"")</f>
        <v>4.7uf/4700nF 50V 10% Tolerance Capacitor 04025C475KAT2A</v>
      </c>
      <c r="D66" s="10" t="str">
        <f aca="false">IFERROR(INDEX(Inventory!$C$2:$C$381,MATCH($B66,Inventory!$P$2:$P$381,0)),"")</f>
        <v>Capacitor</v>
      </c>
      <c r="E66" s="18" t="str">
        <f aca="false">IFERROR(INDEX(Inventory!$E$2:$E$381,MATCH($B66,Inventory!$P$2:$P$381,0)),"")</f>
        <v>SMD BOX</v>
      </c>
      <c r="F66" s="11" t="n">
        <f aca="false">IFERROR(INDEX(Inventory!$H$2:$H$381,MATCH($B66,Inventory!$P$2:$P$381,0)),"")</f>
        <v>5</v>
      </c>
      <c r="G66" s="11" t="n">
        <f aca="false">IFERROR(INDEX(Inventory!$I$2:$I$381,MATCH($B66,Inventory!$P$2:$P$381,0)),"")</f>
        <v>10</v>
      </c>
      <c r="H66" s="19" t="n">
        <f aca="false">IF($C66="","",IF($F66="","count it",MAX(0,$G66-$F66)))</f>
        <v>5</v>
      </c>
      <c r="I66" s="11" t="str">
        <f aca="false">IFERROR(INDEX(Inventory!$J$2:$J$381,MATCH($B66,Inventory!$P$2:$P$381,0)),"")</f>
        <v>Low stock</v>
      </c>
    </row>
    <row r="67" customFormat="false" ht="15" hidden="false" customHeight="false" outlineLevel="0" collapsed="false">
      <c r="B67" s="5" t="n">
        <v>62</v>
      </c>
      <c r="C67" s="10" t="str">
        <f aca="false">IFERROR(INDEX(Inventory!$B$2:$B$381,MATCH($B67,Inventory!$P$2:$P$381,0)),"")</f>
        <v>1uf 1000V 10% Tolerance Capacitor 04025C475KAT2A</v>
      </c>
      <c r="D67" s="10" t="str">
        <f aca="false">IFERROR(INDEX(Inventory!$C$2:$C$381,MATCH($B67,Inventory!$P$2:$P$381,0)),"")</f>
        <v>Capacitor</v>
      </c>
      <c r="E67" s="18" t="str">
        <f aca="false">IFERROR(INDEX(Inventory!$E$2:$E$381,MATCH($B67,Inventory!$P$2:$P$381,0)),"")</f>
        <v>SMD BOX</v>
      </c>
      <c r="F67" s="11" t="n">
        <f aca="false">IFERROR(INDEX(Inventory!$H$2:$H$381,MATCH($B67,Inventory!$P$2:$P$381,0)),"")</f>
        <v>7</v>
      </c>
      <c r="G67" s="11" t="n">
        <f aca="false">IFERROR(INDEX(Inventory!$I$2:$I$381,MATCH($B67,Inventory!$P$2:$P$381,0)),"")</f>
        <v>10</v>
      </c>
      <c r="H67" s="19" t="n">
        <f aca="false">IF($C67="","",IF($F67="","count it",MAX(0,$G67-$F67)))</f>
        <v>3</v>
      </c>
      <c r="I67" s="11" t="str">
        <f aca="false">IFERROR(INDEX(Inventory!$J$2:$J$381,MATCH($B67,Inventory!$P$2:$P$381,0)),"")</f>
        <v>Low stock</v>
      </c>
    </row>
    <row r="68" customFormat="false" ht="15" hidden="false" customHeight="false" outlineLevel="0" collapsed="false">
      <c r="B68" s="5" t="n">
        <v>63</v>
      </c>
      <c r="C68" s="10" t="str">
        <f aca="false">IFERROR(INDEX(Inventory!$B$2:$B$381,MATCH($B68,Inventory!$P$2:$P$381,0)),"")</f>
        <v>ABS06 - 32.7680KHz 12.fPF SMD</v>
      </c>
      <c r="D68" s="10" t="str">
        <f aca="false">IFERROR(INDEX(Inventory!$C$2:$C$381,MATCH($B68,Inventory!$P$2:$P$381,0)),"")</f>
        <v>Misc</v>
      </c>
      <c r="E68" s="18" t="str">
        <f aca="false">IFERROR(INDEX(Inventory!$E$2:$E$381,MATCH($B68,Inventory!$P$2:$P$381,0)),"")</f>
        <v>SMD BOX</v>
      </c>
      <c r="F68" s="11" t="n">
        <f aca="false">IFERROR(INDEX(Inventory!$H$2:$H$381,MATCH($B68,Inventory!$P$2:$P$381,0)),"")</f>
        <v>0</v>
      </c>
      <c r="G68" s="11" t="n">
        <f aca="false">IFERROR(INDEX(Inventory!$I$2:$I$381,MATCH($B68,Inventory!$P$2:$P$381,0)),"")</f>
        <v>2</v>
      </c>
      <c r="H68" s="19" t="n">
        <f aca="false">IF($C68="","",IF($F68="","count it",MAX(0,$G68-$F68)))</f>
        <v>2</v>
      </c>
      <c r="I68" s="11" t="str">
        <f aca="false">IFERROR(INDEX(Inventory!$J$2:$J$381,MATCH($B68,Inventory!$P$2:$P$381,0)),"")</f>
        <v>Out of stock</v>
      </c>
    </row>
    <row r="69" customFormat="false" ht="15" hidden="false" customHeight="false" outlineLevel="0" collapsed="false">
      <c r="B69" s="5" t="n">
        <v>64</v>
      </c>
      <c r="C69" s="10" t="str">
        <f aca="false">IFERROR(INDEX(Inventory!$B$2:$B$381,MATCH($B69,Inventory!$P$2:$P$381,0)),"")</f>
        <v>50v 0.1uf X7R 0402</v>
      </c>
      <c r="D69" s="10" t="str">
        <f aca="false">IFERROR(INDEX(Inventory!$C$2:$C$381,MATCH($B69,Inventory!$P$2:$P$381,0)),"")</f>
        <v>Capacitor</v>
      </c>
      <c r="E69" s="18" t="str">
        <f aca="false">IFERROR(INDEX(Inventory!$E$2:$E$381,MATCH($B69,Inventory!$P$2:$P$381,0)),"")</f>
        <v>SMD BOX</v>
      </c>
      <c r="F69" s="11" t="n">
        <f aca="false">IFERROR(INDEX(Inventory!$H$2:$H$381,MATCH($B69,Inventory!$P$2:$P$381,0)),"")</f>
        <v>0</v>
      </c>
      <c r="G69" s="11" t="n">
        <f aca="false">IFERROR(INDEX(Inventory!$I$2:$I$381,MATCH($B69,Inventory!$P$2:$P$381,0)),"")</f>
        <v>10</v>
      </c>
      <c r="H69" s="19" t="n">
        <f aca="false">IF($C69="","",IF($F69="","count it",MAX(0,$G69-$F69)))</f>
        <v>10</v>
      </c>
      <c r="I69" s="11" t="str">
        <f aca="false">IFERROR(INDEX(Inventory!$J$2:$J$381,MATCH($B69,Inventory!$P$2:$P$381,0)),"")</f>
        <v>Out of stock</v>
      </c>
    </row>
    <row r="70" customFormat="false" ht="15" hidden="false" customHeight="false" outlineLevel="0" collapsed="false">
      <c r="B70" s="5" t="n">
        <v>65</v>
      </c>
      <c r="C70" s="10" t="str">
        <f aca="false">IFERROR(INDEX(Inventory!$B$2:$B$381,MATCH($B70,Inventory!$P$2:$P$381,0)),"")</f>
        <v>50v 100pf C0G 0402</v>
      </c>
      <c r="D70" s="10" t="str">
        <f aca="false">IFERROR(INDEX(Inventory!$C$2:$C$381,MATCH($B70,Inventory!$P$2:$P$381,0)),"")</f>
        <v>Capacitor</v>
      </c>
      <c r="E70" s="18" t="str">
        <f aca="false">IFERROR(INDEX(Inventory!$E$2:$E$381,MATCH($B70,Inventory!$P$2:$P$381,0)),"")</f>
        <v>SMD BOX</v>
      </c>
      <c r="F70" s="11" t="n">
        <f aca="false">IFERROR(INDEX(Inventory!$H$2:$H$381,MATCH($B70,Inventory!$P$2:$P$381,0)),"")</f>
        <v>5</v>
      </c>
      <c r="G70" s="11" t="n">
        <f aca="false">IFERROR(INDEX(Inventory!$I$2:$I$381,MATCH($B70,Inventory!$P$2:$P$381,0)),"")</f>
        <v>10</v>
      </c>
      <c r="H70" s="19" t="n">
        <f aca="false">IF($C70="","",IF($F70="","count it",MAX(0,$G70-$F70)))</f>
        <v>5</v>
      </c>
      <c r="I70" s="11" t="str">
        <f aca="false">IFERROR(INDEX(Inventory!$J$2:$J$381,MATCH($B70,Inventory!$P$2:$P$381,0)),"")</f>
        <v>Low stock</v>
      </c>
    </row>
    <row r="71" customFormat="false" ht="15" hidden="false" customHeight="false" outlineLevel="0" collapsed="false">
      <c r="B71" s="5" t="n">
        <v>66</v>
      </c>
      <c r="C71" s="10" t="str">
        <f aca="false">IFERROR(INDEX(Inventory!$B$2:$B$381,MATCH($B71,Inventory!$P$2:$P$381,0)),"")</f>
        <v>20566-001E-01(MHF 5 RECEPTACLE)</v>
      </c>
      <c r="D71" s="10" t="str">
        <f aca="false">IFERROR(INDEX(Inventory!$C$2:$C$381,MATCH($B71,Inventory!$P$2:$P$381,0)),"")</f>
        <v>Misc</v>
      </c>
      <c r="E71" s="18" t="str">
        <f aca="false">IFERROR(INDEX(Inventory!$E$2:$E$381,MATCH($B71,Inventory!$P$2:$P$381,0)),"")</f>
        <v>SMD BOX</v>
      </c>
      <c r="F71" s="11" t="n">
        <f aca="false">IFERROR(INDEX(Inventory!$H$2:$H$381,MATCH($B71,Inventory!$P$2:$P$381,0)),"")</f>
        <v>0</v>
      </c>
      <c r="G71" s="11" t="n">
        <f aca="false">IFERROR(INDEX(Inventory!$I$2:$I$381,MATCH($B71,Inventory!$P$2:$P$381,0)),"")</f>
        <v>2</v>
      </c>
      <c r="H71" s="19" t="n">
        <f aca="false">IF($C71="","",IF($F71="","count it",MAX(0,$G71-$F71)))</f>
        <v>2</v>
      </c>
      <c r="I71" s="11" t="str">
        <f aca="false">IFERROR(INDEX(Inventory!$J$2:$J$381,MATCH($B71,Inventory!$P$2:$P$381,0)),"")</f>
        <v>Out of stock</v>
      </c>
    </row>
    <row r="72" customFormat="false" ht="15" hidden="false" customHeight="false" outlineLevel="0" collapsed="false">
      <c r="B72" s="5" t="n">
        <v>67</v>
      </c>
      <c r="C72" s="10" t="str">
        <f aca="false">IFERROR(INDEX(Inventory!$B$2:$B$381,MATCH($B72,Inventory!$P$2:$P$381,0)),"")</f>
        <v>0.8 pF 50 VDC 0.05 p</v>
      </c>
      <c r="D72" s="10" t="str">
        <f aca="false">IFERROR(INDEX(Inventory!$C$2:$C$381,MATCH($B72,Inventory!$P$2:$P$381,0)),"")</f>
        <v>Capacitor</v>
      </c>
      <c r="E72" s="18" t="str">
        <f aca="false">IFERROR(INDEX(Inventory!$E$2:$E$381,MATCH($B72,Inventory!$P$2:$P$381,0)),"")</f>
        <v>SMD BOX</v>
      </c>
      <c r="F72" s="11" t="n">
        <f aca="false">IFERROR(INDEX(Inventory!$H$2:$H$381,MATCH($B72,Inventory!$P$2:$P$381,0)),"")</f>
        <v>5</v>
      </c>
      <c r="G72" s="11" t="n">
        <f aca="false">IFERROR(INDEX(Inventory!$I$2:$I$381,MATCH($B72,Inventory!$P$2:$P$381,0)),"")</f>
        <v>10</v>
      </c>
      <c r="H72" s="19" t="n">
        <f aca="false">IF($C72="","",IF($F72="","count it",MAX(0,$G72-$F72)))</f>
        <v>5</v>
      </c>
      <c r="I72" s="11" t="str">
        <f aca="false">IFERROR(INDEX(Inventory!$J$2:$J$381,MATCH($B72,Inventory!$P$2:$P$381,0)),"")</f>
        <v>Low stock</v>
      </c>
    </row>
    <row r="73" customFormat="false" ht="15" hidden="false" customHeight="false" outlineLevel="0" collapsed="false">
      <c r="B73" s="5" t="n">
        <v>68</v>
      </c>
      <c r="C73" s="10" t="str">
        <f aca="false">IFERROR(INDEX(Inventory!$B$2:$B$381,MATCH($B73,Inventory!$P$2:$P$381,0)),"")</f>
        <v>5.6 k0hms 62.5mW 040</v>
      </c>
      <c r="D73" s="10" t="str">
        <f aca="false">IFERROR(INDEX(Inventory!$C$2:$C$381,MATCH($B73,Inventory!$P$2:$P$381,0)),"")</f>
        <v>Resistor</v>
      </c>
      <c r="E73" s="18" t="str">
        <f aca="false">IFERROR(INDEX(Inventory!$E$2:$E$381,MATCH($B73,Inventory!$P$2:$P$381,0)),"")</f>
        <v>SMD BOX</v>
      </c>
      <c r="F73" s="11" t="n">
        <f aca="false">IFERROR(INDEX(Inventory!$H$2:$H$381,MATCH($B73,Inventory!$P$2:$P$381,0)),"")</f>
        <v>5</v>
      </c>
      <c r="G73" s="11" t="n">
        <f aca="false">IFERROR(INDEX(Inventory!$I$2:$I$381,MATCH($B73,Inventory!$P$2:$P$381,0)),"")</f>
        <v>10</v>
      </c>
      <c r="H73" s="19" t="n">
        <f aca="false">IF($C73="","",IF($F73="","count it",MAX(0,$G73-$F73)))</f>
        <v>5</v>
      </c>
      <c r="I73" s="11" t="str">
        <f aca="false">IFERROR(INDEX(Inventory!$J$2:$J$381,MATCH($B73,Inventory!$P$2:$P$381,0)),"")</f>
        <v>Low stock</v>
      </c>
    </row>
    <row r="74" customFormat="false" ht="15" hidden="false" customHeight="false" outlineLevel="0" collapsed="false">
      <c r="B74" s="5" t="n">
        <v>69</v>
      </c>
      <c r="C74" s="10" t="str">
        <f aca="false">IFERROR(INDEX(Inventory!$B$2:$B$381,MATCH($B74,Inventory!$P$2:$P$381,0)),"")</f>
        <v>ESD Protection diode</v>
      </c>
      <c r="D74" s="10" t="str">
        <f aca="false">IFERROR(INDEX(Inventory!$C$2:$C$381,MATCH($B74,Inventory!$P$2:$P$381,0)),"")</f>
        <v>Diode</v>
      </c>
      <c r="E74" s="18" t="str">
        <f aca="false">IFERROR(INDEX(Inventory!$E$2:$E$381,MATCH($B74,Inventory!$P$2:$P$381,0)),"")</f>
        <v>SMD BOX</v>
      </c>
      <c r="F74" s="11" t="n">
        <f aca="false">IFERROR(INDEX(Inventory!$H$2:$H$381,MATCH($B74,Inventory!$P$2:$P$381,0)),"")</f>
        <v>0</v>
      </c>
      <c r="G74" s="11" t="n">
        <f aca="false">IFERROR(INDEX(Inventory!$I$2:$I$381,MATCH($B74,Inventory!$P$2:$P$381,0)),"")</f>
        <v>5</v>
      </c>
      <c r="H74" s="19" t="n">
        <f aca="false">IF($C74="","",IF($F74="","count it",MAX(0,$G74-$F74)))</f>
        <v>5</v>
      </c>
      <c r="I74" s="11" t="str">
        <f aca="false">IFERROR(INDEX(Inventory!$J$2:$J$381,MATCH($B74,Inventory!$P$2:$P$381,0)),"")</f>
        <v>Out of stock</v>
      </c>
    </row>
    <row r="75" customFormat="false" ht="15" hidden="false" customHeight="false" outlineLevel="0" collapsed="false">
      <c r="B75" s="5" t="n">
        <v>70</v>
      </c>
      <c r="C75" s="10" t="str">
        <f aca="false">IFERROR(INDEX(Inventory!$B$2:$B$381,MATCH($B75,Inventory!$P$2:$P$381,0)),"")</f>
        <v>CRYSTAL 32.0000MHZ 12PF SMD</v>
      </c>
      <c r="D75" s="10" t="str">
        <f aca="false">IFERROR(INDEX(Inventory!$C$2:$C$381,MATCH($B75,Inventory!$P$2:$P$381,0)),"")</f>
        <v>Oscillator</v>
      </c>
      <c r="E75" s="18" t="str">
        <f aca="false">IFERROR(INDEX(Inventory!$E$2:$E$381,MATCH($B75,Inventory!$P$2:$P$381,0)),"")</f>
        <v>SMD BOX</v>
      </c>
      <c r="F75" s="11" t="n">
        <f aca="false">IFERROR(INDEX(Inventory!$H$2:$H$381,MATCH($B75,Inventory!$P$2:$P$381,0)),"")</f>
        <v>0</v>
      </c>
      <c r="G75" s="11" t="n">
        <f aca="false">IFERROR(INDEX(Inventory!$I$2:$I$381,MATCH($B75,Inventory!$P$2:$P$381,0)),"")</f>
        <v>5</v>
      </c>
      <c r="H75" s="19" t="n">
        <f aca="false">IF($C75="","",IF($F75="","count it",MAX(0,$G75-$F75)))</f>
        <v>5</v>
      </c>
      <c r="I75" s="11" t="str">
        <f aca="false">IFERROR(INDEX(Inventory!$J$2:$J$381,MATCH($B75,Inventory!$P$2:$P$381,0)),"")</f>
        <v>Out of stock</v>
      </c>
    </row>
    <row r="76" customFormat="false" ht="15" hidden="false" customHeight="false" outlineLevel="0" collapsed="false">
      <c r="B76" s="5" t="n">
        <v>71</v>
      </c>
      <c r="C76" s="10" t="str">
        <f aca="false">IFERROR(INDEX(Inventory!$B$2:$B$381,MATCH($B76,Inventory!$P$2:$P$381,0)),"")</f>
        <v>100k Ωs 62.5 mW 040</v>
      </c>
      <c r="D76" s="10" t="str">
        <f aca="false">IFERROR(INDEX(Inventory!$C$2:$C$381,MATCH($B76,Inventory!$P$2:$P$381,0)),"")</f>
        <v>Resistor</v>
      </c>
      <c r="E76" s="18" t="str">
        <f aca="false">IFERROR(INDEX(Inventory!$E$2:$E$381,MATCH($B76,Inventory!$P$2:$P$381,0)),"")</f>
        <v>SMD BOX</v>
      </c>
      <c r="F76" s="11" t="n">
        <f aca="false">IFERROR(INDEX(Inventory!$H$2:$H$381,MATCH($B76,Inventory!$P$2:$P$381,0)),"")</f>
        <v>0</v>
      </c>
      <c r="G76" s="11" t="n">
        <f aca="false">IFERROR(INDEX(Inventory!$I$2:$I$381,MATCH($B76,Inventory!$P$2:$P$381,0)),"")</f>
        <v>10</v>
      </c>
      <c r="H76" s="19" t="n">
        <f aca="false">IF($C76="","",IF($F76="","count it",MAX(0,$G76-$F76)))</f>
        <v>10</v>
      </c>
      <c r="I76" s="11" t="str">
        <f aca="false">IFERROR(INDEX(Inventory!$J$2:$J$381,MATCH($B76,Inventory!$P$2:$P$381,0)),"")</f>
        <v>Out of stock</v>
      </c>
    </row>
    <row r="77" customFormat="false" ht="15" hidden="false" customHeight="false" outlineLevel="0" collapsed="false">
      <c r="B77" s="5" t="n">
        <v>72</v>
      </c>
      <c r="C77" s="10" t="str">
        <f aca="false">IFERROR(INDEX(Inventory!$B$2:$B$381,MATCH($B77,Inventory!$P$2:$P$381,0)),"")</f>
        <v>RES 0 ΩS Jumper 1/16 W 0402</v>
      </c>
      <c r="D77" s="10" t="str">
        <f aca="false">IFERROR(INDEX(Inventory!$C$2:$C$381,MATCH($B77,Inventory!$P$2:$P$381,0)),"")</f>
        <v>Resistor</v>
      </c>
      <c r="E77" s="18" t="str">
        <f aca="false">IFERROR(INDEX(Inventory!$E$2:$E$381,MATCH($B77,Inventory!$P$2:$P$381,0)),"")</f>
        <v>SMD BOX</v>
      </c>
      <c r="F77" s="11" t="n">
        <f aca="false">IFERROR(INDEX(Inventory!$H$2:$H$381,MATCH($B77,Inventory!$P$2:$P$381,0)),"")</f>
        <v>4</v>
      </c>
      <c r="G77" s="11" t="n">
        <f aca="false">IFERROR(INDEX(Inventory!$I$2:$I$381,MATCH($B77,Inventory!$P$2:$P$381,0)),"")</f>
        <v>10</v>
      </c>
      <c r="H77" s="19" t="n">
        <f aca="false">IF($C77="","",IF($F77="","count it",MAX(0,$G77-$F77)))</f>
        <v>6</v>
      </c>
      <c r="I77" s="11" t="str">
        <f aca="false">IFERROR(INDEX(Inventory!$J$2:$J$381,MATCH($B77,Inventory!$P$2:$P$381,0)),"")</f>
        <v>Low stock</v>
      </c>
    </row>
    <row r="78" customFormat="false" ht="15" hidden="false" customHeight="false" outlineLevel="0" collapsed="false">
      <c r="B78" s="5" t="n">
        <v>73</v>
      </c>
      <c r="C78" s="10" t="str">
        <f aca="false">IFERROR(INDEX(Inventory!$B$2:$B$381,MATCH($B78,Inventory!$P$2:$P$381,0)),"")</f>
        <v>CONN HEADER SMD 3 POS 1.2MM</v>
      </c>
      <c r="D78" s="10" t="str">
        <f aca="false">IFERROR(INDEX(Inventory!$C$2:$C$381,MATCH($B78,Inventory!$P$2:$P$381,0)),"")</f>
        <v>Connector</v>
      </c>
      <c r="E78" s="18" t="str">
        <f aca="false">IFERROR(INDEX(Inventory!$E$2:$E$381,MATCH($B78,Inventory!$P$2:$P$381,0)),"")</f>
        <v>SMD BOX</v>
      </c>
      <c r="F78" s="11" t="n">
        <f aca="false">IFERROR(INDEX(Inventory!$H$2:$H$381,MATCH($B78,Inventory!$P$2:$P$381,0)),"")</f>
        <v>0</v>
      </c>
      <c r="G78" s="11" t="n">
        <f aca="false">IFERROR(INDEX(Inventory!$I$2:$I$381,MATCH($B78,Inventory!$P$2:$P$381,0)),"")</f>
        <v>4</v>
      </c>
      <c r="H78" s="19" t="n">
        <f aca="false">IF($C78="","",IF($F78="","count it",MAX(0,$G78-$F78)))</f>
        <v>4</v>
      </c>
      <c r="I78" s="11" t="str">
        <f aca="false">IFERROR(INDEX(Inventory!$J$2:$J$381,MATCH($B78,Inventory!$P$2:$P$381,0)),"")</f>
        <v>Out of stock</v>
      </c>
    </row>
    <row r="79" customFormat="false" ht="15" hidden="false" customHeight="false" outlineLevel="0" collapsed="false">
      <c r="B79" s="5" t="n">
        <v>74</v>
      </c>
      <c r="C79" s="10" t="str">
        <f aca="false">IFERROR(INDEX(Inventory!$B$2:$B$381,MATCH($B79,Inventory!$P$2:$P$381,0)),"")</f>
        <v>CONN FFC FPC 6POS 0.5MM R/A</v>
      </c>
      <c r="D79" s="10" t="str">
        <f aca="false">IFERROR(INDEX(Inventory!$C$2:$C$381,MATCH($B79,Inventory!$P$2:$P$381,0)),"")</f>
        <v>Misc</v>
      </c>
      <c r="E79" s="18" t="str">
        <f aca="false">IFERROR(INDEX(Inventory!$E$2:$E$381,MATCH($B79,Inventory!$P$2:$P$381,0)),"")</f>
        <v>SMD BOX</v>
      </c>
      <c r="F79" s="11" t="n">
        <f aca="false">IFERROR(INDEX(Inventory!$H$2:$H$381,MATCH($B79,Inventory!$P$2:$P$381,0)),"")</f>
        <v>0</v>
      </c>
      <c r="G79" s="11" t="n">
        <f aca="false">IFERROR(INDEX(Inventory!$I$2:$I$381,MATCH($B79,Inventory!$P$2:$P$381,0)),"")</f>
        <v>2</v>
      </c>
      <c r="H79" s="19" t="n">
        <f aca="false">IF($C79="","",IF($F79="","count it",MAX(0,$G79-$F79)))</f>
        <v>2</v>
      </c>
      <c r="I79" s="11" t="str">
        <f aca="false">IFERROR(INDEX(Inventory!$J$2:$J$381,MATCH($B79,Inventory!$P$2:$P$381,0)),"")</f>
        <v>Out of stock</v>
      </c>
    </row>
    <row r="80" customFormat="false" ht="15" hidden="false" customHeight="false" outlineLevel="0" collapsed="false">
      <c r="B80" s="5" t="n">
        <v>75</v>
      </c>
      <c r="C80" s="10" t="str">
        <f aca="false">IFERROR(INDEX(Inventory!$B$2:$B$381,MATCH($B80,Inventory!$P$2:$P$381,0)),"")</f>
        <v>IC BATT CHG LI-ION 1CELL 20QFN</v>
      </c>
      <c r="D80" s="10" t="str">
        <f aca="false">IFERROR(INDEX(Inventory!$C$2:$C$381,MATCH($B80,Inventory!$P$2:$P$381,0)),"")</f>
        <v>Misc</v>
      </c>
      <c r="E80" s="18" t="str">
        <f aca="false">IFERROR(INDEX(Inventory!$E$2:$E$381,MATCH($B80,Inventory!$P$2:$P$381,0)),"")</f>
        <v>SMD BOX</v>
      </c>
      <c r="F80" s="11" t="n">
        <f aca="false">IFERROR(INDEX(Inventory!$H$2:$H$381,MATCH($B80,Inventory!$P$2:$P$381,0)),"")</f>
        <v>0</v>
      </c>
      <c r="G80" s="11" t="n">
        <f aca="false">IFERROR(INDEX(Inventory!$I$2:$I$381,MATCH($B80,Inventory!$P$2:$P$381,0)),"")</f>
        <v>2</v>
      </c>
      <c r="H80" s="19" t="n">
        <f aca="false">IF($C80="","",IF($F80="","count it",MAX(0,$G80-$F80)))</f>
        <v>2</v>
      </c>
      <c r="I80" s="11" t="str">
        <f aca="false">IFERROR(INDEX(Inventory!$J$2:$J$381,MATCH($B80,Inventory!$P$2:$P$381,0)),"")</f>
        <v>Out of stock</v>
      </c>
    </row>
    <row r="81" customFormat="false" ht="15" hidden="false" customHeight="false" outlineLevel="0" collapsed="false">
      <c r="B81" s="5" t="n">
        <v>76</v>
      </c>
      <c r="C81" s="10" t="str">
        <f aca="false">IFERROR(INDEX(Inventory!$B$2:$B$381,MATCH($B81,Inventory!$P$2:$P$381,0)),"")</f>
        <v>TVS Diode 5VWM 18.3VC SOD323</v>
      </c>
      <c r="D81" s="10" t="str">
        <f aca="false">IFERROR(INDEX(Inventory!$C$2:$C$381,MATCH($B81,Inventory!$P$2:$P$381,0)),"")</f>
        <v>Diode</v>
      </c>
      <c r="E81" s="18" t="str">
        <f aca="false">IFERROR(INDEX(Inventory!$E$2:$E$381,MATCH($B81,Inventory!$P$2:$P$381,0)),"")</f>
        <v>SMD BOX</v>
      </c>
      <c r="F81" s="11" t="n">
        <f aca="false">IFERROR(INDEX(Inventory!$H$2:$H$381,MATCH($B81,Inventory!$P$2:$P$381,0)),"")</f>
        <v>3</v>
      </c>
      <c r="G81" s="11" t="n">
        <f aca="false">IFERROR(INDEX(Inventory!$I$2:$I$381,MATCH($B81,Inventory!$P$2:$P$381,0)),"")</f>
        <v>5</v>
      </c>
      <c r="H81" s="19" t="n">
        <f aca="false">IF($C81="","",IF($F81="","count it",MAX(0,$G81-$F81)))</f>
        <v>2</v>
      </c>
      <c r="I81" s="11" t="str">
        <f aca="false">IFERROR(INDEX(Inventory!$J$2:$J$381,MATCH($B81,Inventory!$P$2:$P$381,0)),"")</f>
        <v>Low stock</v>
      </c>
    </row>
    <row r="82" customFormat="false" ht="15" hidden="false" customHeight="false" outlineLevel="0" collapsed="false">
      <c r="B82" s="5" t="n">
        <v>77</v>
      </c>
      <c r="C82" s="10" t="str">
        <f aca="false">IFERROR(INDEX(Inventory!$B$2:$B$381,MATCH($B82,Inventory!$P$2:$P$381,0)),"")</f>
        <v>500 Ω Resistor+</v>
      </c>
      <c r="D82" s="10" t="str">
        <f aca="false">IFERROR(INDEX(Inventory!$C$2:$C$381,MATCH($B82,Inventory!$P$2:$P$381,0)),"")</f>
        <v>Resistor</v>
      </c>
      <c r="E82" s="18" t="str">
        <f aca="false">IFERROR(INDEX(Inventory!$E$2:$E$381,MATCH($B82,Inventory!$P$2:$P$381,0)),"")</f>
        <v>MIXED RESISTOR BOX</v>
      </c>
      <c r="F82" s="11" t="n">
        <f aca="false">IFERROR(INDEX(Inventory!$H$2:$H$381,MATCH($B82,Inventory!$P$2:$P$381,0)),"")</f>
        <v>5</v>
      </c>
      <c r="G82" s="11" t="n">
        <f aca="false">IFERROR(INDEX(Inventory!$I$2:$I$381,MATCH($B82,Inventory!$P$2:$P$381,0)),"")</f>
        <v>10</v>
      </c>
      <c r="H82" s="19" t="n">
        <f aca="false">IF($C82="","",IF($F82="","count it",MAX(0,$G82-$F82)))</f>
        <v>5</v>
      </c>
      <c r="I82" s="11" t="str">
        <f aca="false">IFERROR(INDEX(Inventory!$J$2:$J$381,MATCH($B82,Inventory!$P$2:$P$381,0)),"")</f>
        <v>Low stock</v>
      </c>
    </row>
    <row r="83" customFormat="false" ht="15" hidden="false" customHeight="false" outlineLevel="0" collapsed="false">
      <c r="B83" s="5" t="n">
        <v>78</v>
      </c>
      <c r="C83" s="10" t="str">
        <f aca="false">IFERROR(INDEX(Inventory!$B$2:$B$381,MATCH($B83,Inventory!$P$2:$P$381,0)),"")</f>
        <v>5K Ω Resistor+</v>
      </c>
      <c r="D83" s="10" t="str">
        <f aca="false">IFERROR(INDEX(Inventory!$C$2:$C$381,MATCH($B83,Inventory!$P$2:$P$381,0)),"")</f>
        <v>Resistor</v>
      </c>
      <c r="E83" s="18" t="str">
        <f aca="false">IFERROR(INDEX(Inventory!$E$2:$E$381,MATCH($B83,Inventory!$P$2:$P$381,0)),"")</f>
        <v>MIXED RESISTOR BOX</v>
      </c>
      <c r="F83" s="11" t="n">
        <f aca="false">IFERROR(INDEX(Inventory!$H$2:$H$381,MATCH($B83,Inventory!$P$2:$P$381,0)),"")</f>
        <v>3</v>
      </c>
      <c r="G83" s="11" t="n">
        <f aca="false">IFERROR(INDEX(Inventory!$I$2:$I$381,MATCH($B83,Inventory!$P$2:$P$381,0)),"")</f>
        <v>10</v>
      </c>
      <c r="H83" s="19" t="n">
        <f aca="false">IF($C83="","",IF($F83="","count it",MAX(0,$G83-$F83)))</f>
        <v>7</v>
      </c>
      <c r="I83" s="11" t="str">
        <f aca="false">IFERROR(INDEX(Inventory!$J$2:$J$381,MATCH($B83,Inventory!$P$2:$P$381,0)),"")</f>
        <v>Low stock</v>
      </c>
    </row>
    <row r="84" customFormat="false" ht="15" hidden="false" customHeight="false" outlineLevel="0" collapsed="false">
      <c r="B84" s="5" t="n">
        <v>79</v>
      </c>
      <c r="C84" s="10" t="str">
        <f aca="false">IFERROR(INDEX(Inventory!$B$2:$B$381,MATCH($B84,Inventory!$P$2:$P$381,0)),"")</f>
        <v>1.7K Ω Resistor+</v>
      </c>
      <c r="D84" s="10" t="str">
        <f aca="false">IFERROR(INDEX(Inventory!$C$2:$C$381,MATCH($B84,Inventory!$P$2:$P$381,0)),"")</f>
        <v>Resistor</v>
      </c>
      <c r="E84" s="18" t="str">
        <f aca="false">IFERROR(INDEX(Inventory!$E$2:$E$381,MATCH($B84,Inventory!$P$2:$P$381,0)),"")</f>
        <v>MIXED RESISTOR BOX</v>
      </c>
      <c r="F84" s="11" t="n">
        <f aca="false">IFERROR(INDEX(Inventory!$H$2:$H$381,MATCH($B84,Inventory!$P$2:$P$381,0)),"")</f>
        <v>3</v>
      </c>
      <c r="G84" s="11" t="n">
        <f aca="false">IFERROR(INDEX(Inventory!$I$2:$I$381,MATCH($B84,Inventory!$P$2:$P$381,0)),"")</f>
        <v>10</v>
      </c>
      <c r="H84" s="19" t="n">
        <f aca="false">IF($C84="","",IF($F84="","count it",MAX(0,$G84-$F84)))</f>
        <v>7</v>
      </c>
      <c r="I84" s="11" t="str">
        <f aca="false">IFERROR(INDEX(Inventory!$J$2:$J$381,MATCH($B84,Inventory!$P$2:$P$381,0)),"")</f>
        <v>Low stock</v>
      </c>
    </row>
    <row r="85" customFormat="false" ht="15" hidden="false" customHeight="false" outlineLevel="0" collapsed="false">
      <c r="B85" s="5" t="n">
        <v>80</v>
      </c>
      <c r="C85" s="10" t="str">
        <f aca="false">IFERROR(INDEX(Inventory!$B$2:$B$381,MATCH($B85,Inventory!$P$2:$P$381,0)),"")</f>
        <v>39 Ω Resistor+</v>
      </c>
      <c r="D85" s="10" t="str">
        <f aca="false">IFERROR(INDEX(Inventory!$C$2:$C$381,MATCH($B85,Inventory!$P$2:$P$381,0)),"")</f>
        <v>Resistor</v>
      </c>
      <c r="E85" s="18" t="str">
        <f aca="false">IFERROR(INDEX(Inventory!$E$2:$E$381,MATCH($B85,Inventory!$P$2:$P$381,0)),"")</f>
        <v>MIXED RESISTOR BOX</v>
      </c>
      <c r="F85" s="11" t="n">
        <f aca="false">IFERROR(INDEX(Inventory!$H$2:$H$381,MATCH($B85,Inventory!$P$2:$P$381,0)),"")</f>
        <v>5</v>
      </c>
      <c r="G85" s="11" t="n">
        <f aca="false">IFERROR(INDEX(Inventory!$I$2:$I$381,MATCH($B85,Inventory!$P$2:$P$381,0)),"")</f>
        <v>10</v>
      </c>
      <c r="H85" s="19" t="n">
        <f aca="false">IF($C85="","",IF($F85="","count it",MAX(0,$G85-$F85)))</f>
        <v>5</v>
      </c>
      <c r="I85" s="11" t="str">
        <f aca="false">IFERROR(INDEX(Inventory!$J$2:$J$381,MATCH($B85,Inventory!$P$2:$P$381,0)),"")</f>
        <v>Low stock</v>
      </c>
    </row>
    <row r="86" customFormat="false" ht="15" hidden="false" customHeight="false" outlineLevel="0" collapsed="false">
      <c r="B86" s="5" t="n">
        <v>81</v>
      </c>
      <c r="C86" s="10" t="str">
        <f aca="false">IFERROR(INDEX(Inventory!$B$2:$B$381,MATCH($B86,Inventory!$P$2:$P$381,0)),"")</f>
        <v>55K Ω Resistor+</v>
      </c>
      <c r="D86" s="10" t="str">
        <f aca="false">IFERROR(INDEX(Inventory!$C$2:$C$381,MATCH($B86,Inventory!$P$2:$P$381,0)),"")</f>
        <v>Resistor</v>
      </c>
      <c r="E86" s="18" t="str">
        <f aca="false">IFERROR(INDEX(Inventory!$E$2:$E$381,MATCH($B86,Inventory!$P$2:$P$381,0)),"")</f>
        <v>MIXED RESISTOR BOX</v>
      </c>
      <c r="F86" s="11" t="n">
        <f aca="false">IFERROR(INDEX(Inventory!$H$2:$H$381,MATCH($B86,Inventory!$P$2:$P$381,0)),"")</f>
        <v>5</v>
      </c>
      <c r="G86" s="11" t="n">
        <f aca="false">IFERROR(INDEX(Inventory!$I$2:$I$381,MATCH($B86,Inventory!$P$2:$P$381,0)),"")</f>
        <v>10</v>
      </c>
      <c r="H86" s="19" t="n">
        <f aca="false">IF($C86="","",IF($F86="","count it",MAX(0,$G86-$F86)))</f>
        <v>5</v>
      </c>
      <c r="I86" s="11" t="str">
        <f aca="false">IFERROR(INDEX(Inventory!$J$2:$J$381,MATCH($B86,Inventory!$P$2:$P$381,0)),"")</f>
        <v>Low stock</v>
      </c>
    </row>
    <row r="87" customFormat="false" ht="15" hidden="false" customHeight="false" outlineLevel="0" collapsed="false">
      <c r="B87" s="5" t="n">
        <v>82</v>
      </c>
      <c r="C87" s="10" t="str">
        <f aca="false">IFERROR(INDEX(Inventory!$B$2:$B$381,MATCH($B87,Inventory!$P$2:$P$381,0)),"")</f>
        <v>220 Ω Resistor+</v>
      </c>
      <c r="D87" s="10" t="str">
        <f aca="false">IFERROR(INDEX(Inventory!$C$2:$C$381,MATCH($B87,Inventory!$P$2:$P$381,0)),"")</f>
        <v>Resistor</v>
      </c>
      <c r="E87" s="18" t="str">
        <f aca="false">IFERROR(INDEX(Inventory!$E$2:$E$381,MATCH($B87,Inventory!$P$2:$P$381,0)),"")</f>
        <v>MIXED RESISTOR BOX</v>
      </c>
      <c r="F87" s="11" t="n">
        <f aca="false">IFERROR(INDEX(Inventory!$H$2:$H$381,MATCH($B87,Inventory!$P$2:$P$381,0)),"")</f>
        <v>5</v>
      </c>
      <c r="G87" s="11" t="n">
        <f aca="false">IFERROR(INDEX(Inventory!$I$2:$I$381,MATCH($B87,Inventory!$P$2:$P$381,0)),"")</f>
        <v>10</v>
      </c>
      <c r="H87" s="19" t="n">
        <f aca="false">IF($C87="","",IF($F87="","count it",MAX(0,$G87-$F87)))</f>
        <v>5</v>
      </c>
      <c r="I87" s="11" t="str">
        <f aca="false">IFERROR(INDEX(Inventory!$J$2:$J$381,MATCH($B87,Inventory!$P$2:$P$381,0)),"")</f>
        <v>Low stock</v>
      </c>
    </row>
    <row r="88" customFormat="false" ht="15" hidden="false" customHeight="false" outlineLevel="0" collapsed="false">
      <c r="B88" s="5" t="n">
        <v>83</v>
      </c>
      <c r="C88" s="10" t="str">
        <f aca="false">IFERROR(INDEX(Inventory!$B$2:$B$381,MATCH($B88,Inventory!$P$2:$P$381,0)),"")</f>
        <v>RFID Reader</v>
      </c>
      <c r="D88" s="10" t="str">
        <f aca="false">IFERROR(INDEX(Inventory!$C$2:$C$381,MATCH($B88,Inventory!$P$2:$P$381,0)),"")</f>
        <v>RFID</v>
      </c>
      <c r="E88" s="18" t="str">
        <f aca="false">IFERROR(INDEX(Inventory!$E$2:$E$381,MATCH($B88,Inventory!$P$2:$P$381,0)),"")</f>
        <v>E2</v>
      </c>
      <c r="F88" s="11" t="str">
        <f aca="false">IFERROR(INDEX(Inventory!$H$2:$H$381,MATCH($B88,Inventory!$P$2:$P$381,0)),"")</f>
        <v/>
      </c>
      <c r="G88" s="11" t="n">
        <f aca="false">IFERROR(INDEX(Inventory!$I$2:$I$381,MATCH($B88,Inventory!$P$2:$P$381,0)),"")</f>
        <v>1</v>
      </c>
      <c r="H88" s="19" t="str">
        <f aca="false">IF($C88="","",IF($F88="","count it",MAX(0,$G88-$F88)))</f>
        <v>count it</v>
      </c>
      <c r="I88" s="11" t="str">
        <f aca="false">IFERROR(INDEX(Inventory!$J$2:$J$381,MATCH($B88,Inventory!$P$2:$P$381,0)),"")</f>
        <v>Not counted</v>
      </c>
    </row>
    <row r="89" customFormat="false" ht="15" hidden="false" customHeight="false" outlineLevel="0" collapsed="false">
      <c r="B89" s="5" t="n">
        <v>84</v>
      </c>
      <c r="C89" s="10" t="str">
        <f aca="false">IFERROR(INDEX(Inventory!$B$2:$B$381,MATCH($B89,Inventory!$P$2:$P$381,0)),"")</f>
        <v>RFID Card</v>
      </c>
      <c r="D89" s="10" t="str">
        <f aca="false">IFERROR(INDEX(Inventory!$C$2:$C$381,MATCH($B89,Inventory!$P$2:$P$381,0)),"")</f>
        <v>RFID</v>
      </c>
      <c r="E89" s="18" t="str">
        <f aca="false">IFERROR(INDEX(Inventory!$E$2:$E$381,MATCH($B89,Inventory!$P$2:$P$381,0)),"")</f>
        <v>UNASSIGNED</v>
      </c>
      <c r="F89" s="11" t="str">
        <f aca="false">IFERROR(INDEX(Inventory!$H$2:$H$381,MATCH($B89,Inventory!$P$2:$P$381,0)),"")</f>
        <v/>
      </c>
      <c r="G89" s="11" t="n">
        <f aca="false">IFERROR(INDEX(Inventory!$I$2:$I$381,MATCH($B89,Inventory!$P$2:$P$381,0)),"")</f>
        <v>1</v>
      </c>
      <c r="H89" s="19" t="str">
        <f aca="false">IF($C89="","",IF($F89="","count it",MAX(0,$G89-$F89)))</f>
        <v>count it</v>
      </c>
      <c r="I89" s="11" t="str">
        <f aca="false">IFERROR(INDEX(Inventory!$J$2:$J$381,MATCH($B89,Inventory!$P$2:$P$381,0)),"")</f>
        <v>Not counted</v>
      </c>
    </row>
    <row r="90" customFormat="false" ht="15" hidden="false" customHeight="false" outlineLevel="0" collapsed="false">
      <c r="B90" s="5" t="n">
        <v>85</v>
      </c>
      <c r="C90" s="10" t="str">
        <f aca="false">IFERROR(INDEX(Inventory!$B$2:$B$381,MATCH($B90,Inventory!$P$2:$P$381,0)),"")</f>
        <v>RFID Tag</v>
      </c>
      <c r="D90" s="10" t="str">
        <f aca="false">IFERROR(INDEX(Inventory!$C$2:$C$381,MATCH($B90,Inventory!$P$2:$P$381,0)),"")</f>
        <v>RFID</v>
      </c>
      <c r="E90" s="18" t="str">
        <f aca="false">IFERROR(INDEX(Inventory!$E$2:$E$381,MATCH($B90,Inventory!$P$2:$P$381,0)),"")</f>
        <v>UNASSIGNED</v>
      </c>
      <c r="F90" s="11" t="str">
        <f aca="false">IFERROR(INDEX(Inventory!$H$2:$H$381,MATCH($B90,Inventory!$P$2:$P$381,0)),"")</f>
        <v/>
      </c>
      <c r="G90" s="11" t="n">
        <f aca="false">IFERROR(INDEX(Inventory!$I$2:$I$381,MATCH($B90,Inventory!$P$2:$P$381,0)),"")</f>
        <v>1</v>
      </c>
      <c r="H90" s="19" t="str">
        <f aca="false">IF($C90="","",IF($F90="","count it",MAX(0,$G90-$F90)))</f>
        <v>count it</v>
      </c>
      <c r="I90" s="11" t="str">
        <f aca="false">IFERROR(INDEX(Inventory!$J$2:$J$381,MATCH($B90,Inventory!$P$2:$P$381,0)),"")</f>
        <v>Not counted</v>
      </c>
    </row>
    <row r="91" customFormat="false" ht="15" hidden="false" customHeight="false" outlineLevel="0" collapsed="false">
      <c r="B91" s="5" t="n">
        <v>86</v>
      </c>
      <c r="C91" s="10" t="str">
        <f aca="false">IFERROR(INDEX(Inventory!$B$2:$B$381,MATCH($B91,Inventory!$P$2:$P$381,0)),"")</f>
        <v>Buzzer</v>
      </c>
      <c r="D91" s="10" t="str">
        <f aca="false">IFERROR(INDEX(Inventory!$C$2:$C$381,MATCH($B91,Inventory!$P$2:$P$381,0)),"")</f>
        <v>Buzzer</v>
      </c>
      <c r="E91" s="18" t="str">
        <f aca="false">IFERROR(INDEX(Inventory!$E$2:$E$381,MATCH($B91,Inventory!$P$2:$P$381,0)),"")</f>
        <v>UNASSIGNED</v>
      </c>
      <c r="F91" s="11" t="str">
        <f aca="false">IFERROR(INDEX(Inventory!$H$2:$H$381,MATCH($B91,Inventory!$P$2:$P$381,0)),"")</f>
        <v/>
      </c>
      <c r="G91" s="11" t="n">
        <f aca="false">IFERROR(INDEX(Inventory!$I$2:$I$381,MATCH($B91,Inventory!$P$2:$P$381,0)),"")</f>
        <v>1</v>
      </c>
      <c r="H91" s="19" t="str">
        <f aca="false">IF($C91="","",IF($F91="","count it",MAX(0,$G91-$F91)))</f>
        <v>count it</v>
      </c>
      <c r="I91" s="11" t="str">
        <f aca="false">IFERROR(INDEX(Inventory!$J$2:$J$381,MATCH($B91,Inventory!$P$2:$P$381,0)),"")</f>
        <v>Not counted</v>
      </c>
    </row>
    <row r="92" customFormat="false" ht="15" hidden="false" customHeight="false" outlineLevel="0" collapsed="false">
      <c r="B92" s="5" t="n">
        <v>87</v>
      </c>
      <c r="C92" s="10" t="str">
        <f aca="false">IFERROR(INDEX(Inventory!$B$2:$B$381,MATCH($B92,Inventory!$P$2:$P$381,0)),"")</f>
        <v>Soilder Wire</v>
      </c>
      <c r="D92" s="10" t="str">
        <f aca="false">IFERROR(INDEX(Inventory!$C$2:$C$381,MATCH($B92,Inventory!$P$2:$P$381,0)),"")</f>
        <v>Soldering</v>
      </c>
      <c r="E92" s="18" t="str">
        <f aca="false">IFERROR(INDEX(Inventory!$E$2:$E$381,MATCH($B92,Inventory!$P$2:$P$381,0)),"")</f>
        <v>UNASSIGNED</v>
      </c>
      <c r="F92" s="11" t="str">
        <f aca="false">IFERROR(INDEX(Inventory!$H$2:$H$381,MATCH($B92,Inventory!$P$2:$P$381,0)),"")</f>
        <v/>
      </c>
      <c r="G92" s="11" t="n">
        <f aca="false">IFERROR(INDEX(Inventory!$I$2:$I$381,MATCH($B92,Inventory!$P$2:$P$381,0)),"")</f>
        <v>1</v>
      </c>
      <c r="H92" s="19" t="str">
        <f aca="false">IF($C92="","",IF($F92="","count it",MAX(0,$G92-$F92)))</f>
        <v>count it</v>
      </c>
      <c r="I92" s="11" t="str">
        <f aca="false">IFERROR(INDEX(Inventory!$J$2:$J$381,MATCH($B92,Inventory!$P$2:$P$381,0)),"")</f>
        <v>Not counted</v>
      </c>
    </row>
    <row r="93" customFormat="false" ht="15" hidden="false" customHeight="false" outlineLevel="0" collapsed="false">
      <c r="B93" s="5" t="n">
        <v>88</v>
      </c>
      <c r="C93" s="10" t="str">
        <f aca="false">IFERROR(INDEX(Inventory!$B$2:$B$381,MATCH($B93,Inventory!$P$2:$P$381,0)),"")</f>
        <v>Soilderf Iron</v>
      </c>
      <c r="D93" s="10" t="str">
        <f aca="false">IFERROR(INDEX(Inventory!$C$2:$C$381,MATCH($B93,Inventory!$P$2:$P$381,0)),"")</f>
        <v>Soldering</v>
      </c>
      <c r="E93" s="18" t="str">
        <f aca="false">IFERROR(INDEX(Inventory!$E$2:$E$381,MATCH($B93,Inventory!$P$2:$P$381,0)),"")</f>
        <v>UNASSIGNED</v>
      </c>
      <c r="F93" s="11" t="str">
        <f aca="false">IFERROR(INDEX(Inventory!$H$2:$H$381,MATCH($B93,Inventory!$P$2:$P$381,0)),"")</f>
        <v/>
      </c>
      <c r="G93" s="11" t="n">
        <f aca="false">IFERROR(INDEX(Inventory!$I$2:$I$381,MATCH($B93,Inventory!$P$2:$P$381,0)),"")</f>
        <v>1</v>
      </c>
      <c r="H93" s="19" t="str">
        <f aca="false">IF($C93="","",IF($F93="","count it",MAX(0,$G93-$F93)))</f>
        <v>count it</v>
      </c>
      <c r="I93" s="11" t="str">
        <f aca="false">IFERROR(INDEX(Inventory!$J$2:$J$381,MATCH($B93,Inventory!$P$2:$P$381,0)),"")</f>
        <v>Not counted</v>
      </c>
    </row>
    <row r="94" customFormat="false" ht="15" hidden="false" customHeight="false" outlineLevel="0" collapsed="false">
      <c r="B94" s="5" t="n">
        <v>89</v>
      </c>
      <c r="C94" s="10" t="str">
        <f aca="false">IFERROR(INDEX(Inventory!$B$2:$B$381,MATCH($B94,Inventory!$P$2:$P$381,0)),"")</f>
        <v>Soilder Stand</v>
      </c>
      <c r="D94" s="10" t="str">
        <f aca="false">IFERROR(INDEX(Inventory!$C$2:$C$381,MATCH($B94,Inventory!$P$2:$P$381,0)),"")</f>
        <v>Soldering</v>
      </c>
      <c r="E94" s="18" t="str">
        <f aca="false">IFERROR(INDEX(Inventory!$E$2:$E$381,MATCH($B94,Inventory!$P$2:$P$381,0)),"")</f>
        <v>UNASSIGNED</v>
      </c>
      <c r="F94" s="11" t="str">
        <f aca="false">IFERROR(INDEX(Inventory!$H$2:$H$381,MATCH($B94,Inventory!$P$2:$P$381,0)),"")</f>
        <v/>
      </c>
      <c r="G94" s="11" t="n">
        <f aca="false">IFERROR(INDEX(Inventory!$I$2:$I$381,MATCH($B94,Inventory!$P$2:$P$381,0)),"")</f>
        <v>1</v>
      </c>
      <c r="H94" s="19" t="str">
        <f aca="false">IF($C94="","",IF($F94="","count it",MAX(0,$G94-$F94)))</f>
        <v>count it</v>
      </c>
      <c r="I94" s="11" t="str">
        <f aca="false">IFERROR(INDEX(Inventory!$J$2:$J$381,MATCH($B94,Inventory!$P$2:$P$381,0)),"")</f>
        <v>Not counted</v>
      </c>
    </row>
    <row r="95" customFormat="false" ht="15" hidden="false" customHeight="false" outlineLevel="0" collapsed="false">
      <c r="B95" s="5" t="n">
        <v>90</v>
      </c>
      <c r="C95" s="10" t="str">
        <f aca="false">IFERROR(INDEX(Inventory!$B$2:$B$381,MATCH($B95,Inventory!$P$2:$P$381,0)),"")</f>
        <v>Sucker Pump</v>
      </c>
      <c r="D95" s="10" t="str">
        <f aca="false">IFERROR(INDEX(Inventory!$C$2:$C$381,MATCH($B95,Inventory!$P$2:$P$381,0)),"")</f>
        <v>Soldering</v>
      </c>
      <c r="E95" s="18" t="str">
        <f aca="false">IFERROR(INDEX(Inventory!$E$2:$E$381,MATCH($B95,Inventory!$P$2:$P$381,0)),"")</f>
        <v>UNASSIGNED</v>
      </c>
      <c r="F95" s="11" t="str">
        <f aca="false">IFERROR(INDEX(Inventory!$H$2:$H$381,MATCH($B95,Inventory!$P$2:$P$381,0)),"")</f>
        <v/>
      </c>
      <c r="G95" s="11" t="n">
        <f aca="false">IFERROR(INDEX(Inventory!$I$2:$I$381,MATCH($B95,Inventory!$P$2:$P$381,0)),"")</f>
        <v>1</v>
      </c>
      <c r="H95" s="19" t="str">
        <f aca="false">IF($C95="","",IF($F95="","count it",MAX(0,$G95-$F95)))</f>
        <v>count it</v>
      </c>
      <c r="I95" s="11" t="str">
        <f aca="false">IFERROR(INDEX(Inventory!$J$2:$J$381,MATCH($B95,Inventory!$P$2:$P$381,0)),"")</f>
        <v>Not counted</v>
      </c>
    </row>
    <row r="96" customFormat="false" ht="15" hidden="false" customHeight="false" outlineLevel="0" collapsed="false">
      <c r="B96" s="5" t="n">
        <v>91</v>
      </c>
      <c r="C96" s="10" t="str">
        <f aca="false">IFERROR(INDEX(Inventory!$B$2:$B$381,MATCH($B96,Inventory!$P$2:$P$381,0)),"")</f>
        <v>Soilder Paste/ oil</v>
      </c>
      <c r="D96" s="10" t="str">
        <f aca="false">IFERROR(INDEX(Inventory!$C$2:$C$381,MATCH($B96,Inventory!$P$2:$P$381,0)),"")</f>
        <v>Soldering</v>
      </c>
      <c r="E96" s="18" t="str">
        <f aca="false">IFERROR(INDEX(Inventory!$E$2:$E$381,MATCH($B96,Inventory!$P$2:$P$381,0)),"")</f>
        <v>UNASSIGNED</v>
      </c>
      <c r="F96" s="11" t="str">
        <f aca="false">IFERROR(INDEX(Inventory!$H$2:$H$381,MATCH($B96,Inventory!$P$2:$P$381,0)),"")</f>
        <v/>
      </c>
      <c r="G96" s="11" t="n">
        <f aca="false">IFERROR(INDEX(Inventory!$I$2:$I$381,MATCH($B96,Inventory!$P$2:$P$381,0)),"")</f>
        <v>1</v>
      </c>
      <c r="H96" s="19" t="str">
        <f aca="false">IF($C96="","",IF($F96="","count it",MAX(0,$G96-$F96)))</f>
        <v>count it</v>
      </c>
      <c r="I96" s="11" t="str">
        <f aca="false">IFERROR(INDEX(Inventory!$J$2:$J$381,MATCH($B96,Inventory!$P$2:$P$381,0)),"")</f>
        <v>Not counted</v>
      </c>
    </row>
    <row r="97" customFormat="false" ht="15" hidden="false" customHeight="false" outlineLevel="0" collapsed="false">
      <c r="B97" s="5" t="n">
        <v>92</v>
      </c>
      <c r="C97" s="10" t="str">
        <f aca="false">IFERROR(INDEX(Inventory!$B$2:$B$381,MATCH($B97,Inventory!$P$2:$P$381,0)),"")</f>
        <v>Soilder SMD Paste</v>
      </c>
      <c r="D97" s="10" t="str">
        <f aca="false">IFERROR(INDEX(Inventory!$C$2:$C$381,MATCH($B97,Inventory!$P$2:$P$381,0)),"")</f>
        <v>Soldering</v>
      </c>
      <c r="E97" s="18" t="str">
        <f aca="false">IFERROR(INDEX(Inventory!$E$2:$E$381,MATCH($B97,Inventory!$P$2:$P$381,0)),"")</f>
        <v>UNASSIGNED</v>
      </c>
      <c r="F97" s="11" t="str">
        <f aca="false">IFERROR(INDEX(Inventory!$H$2:$H$381,MATCH($B97,Inventory!$P$2:$P$381,0)),"")</f>
        <v/>
      </c>
      <c r="G97" s="11" t="n">
        <f aca="false">IFERROR(INDEX(Inventory!$I$2:$I$381,MATCH($B97,Inventory!$P$2:$P$381,0)),"")</f>
        <v>1</v>
      </c>
      <c r="H97" s="19" t="str">
        <f aca="false">IF($C97="","",IF($F97="","count it",MAX(0,$G97-$F97)))</f>
        <v>count it</v>
      </c>
      <c r="I97" s="11" t="str">
        <f aca="false">IFERROR(INDEX(Inventory!$J$2:$J$381,MATCH($B97,Inventory!$P$2:$P$381,0)),"")</f>
        <v>Not counted</v>
      </c>
    </row>
    <row r="98" customFormat="false" ht="15" hidden="false" customHeight="false" outlineLevel="0" collapsed="false">
      <c r="B98" s="5" t="n">
        <v>93</v>
      </c>
      <c r="C98" s="10" t="str">
        <f aca="false">IFERROR(INDEX(Inventory!$B$2:$B$381,MATCH($B98,Inventory!$P$2:$P$381,0)),"")</f>
        <v>De-soilder Wire</v>
      </c>
      <c r="D98" s="10" t="str">
        <f aca="false">IFERROR(INDEX(Inventory!$C$2:$C$381,MATCH($B98,Inventory!$P$2:$P$381,0)),"")</f>
        <v>Soldering</v>
      </c>
      <c r="E98" s="18" t="str">
        <f aca="false">IFERROR(INDEX(Inventory!$E$2:$E$381,MATCH($B98,Inventory!$P$2:$P$381,0)),"")</f>
        <v>UNASSIGNED</v>
      </c>
      <c r="F98" s="11" t="str">
        <f aca="false">IFERROR(INDEX(Inventory!$H$2:$H$381,MATCH($B98,Inventory!$P$2:$P$381,0)),"")</f>
        <v/>
      </c>
      <c r="G98" s="11" t="n">
        <f aca="false">IFERROR(INDEX(Inventory!$I$2:$I$381,MATCH($B98,Inventory!$P$2:$P$381,0)),"")</f>
        <v>1</v>
      </c>
      <c r="H98" s="19" t="str">
        <f aca="false">IF($C98="","",IF($F98="","count it",MAX(0,$G98-$F98)))</f>
        <v>count it</v>
      </c>
      <c r="I98" s="11" t="str">
        <f aca="false">IFERROR(INDEX(Inventory!$J$2:$J$381,MATCH($B98,Inventory!$P$2:$P$381,0)),"")</f>
        <v>Not counted</v>
      </c>
    </row>
    <row r="99" customFormat="false" ht="15" hidden="false" customHeight="false" outlineLevel="0" collapsed="false">
      <c r="B99" s="5" t="n">
        <v>94</v>
      </c>
      <c r="C99" s="10" t="str">
        <f aca="false">IFERROR(INDEX(Inventory!$B$2:$B$381,MATCH($B99,Inventory!$P$2:$P$381,0)),"")</f>
        <v>Single Strenght Wire</v>
      </c>
      <c r="D99" s="10" t="str">
        <f aca="false">IFERROR(INDEX(Inventory!$C$2:$C$381,MATCH($B99,Inventory!$P$2:$P$381,0)),"")</f>
        <v>Wire</v>
      </c>
      <c r="E99" s="18" t="str">
        <f aca="false">IFERROR(INDEX(Inventory!$E$2:$E$381,MATCH($B99,Inventory!$P$2:$P$381,0)),"")</f>
        <v>UNASSIGNED</v>
      </c>
      <c r="F99" s="11" t="str">
        <f aca="false">IFERROR(INDEX(Inventory!$H$2:$H$381,MATCH($B99,Inventory!$P$2:$P$381,0)),"")</f>
        <v/>
      </c>
      <c r="G99" s="11" t="n">
        <f aca="false">IFERROR(INDEX(Inventory!$I$2:$I$381,MATCH($B99,Inventory!$P$2:$P$381,0)),"")</f>
        <v>2</v>
      </c>
      <c r="H99" s="19" t="str">
        <f aca="false">IF($C99="","",IF($F99="","count it",MAX(0,$G99-$F99)))</f>
        <v>count it</v>
      </c>
      <c r="I99" s="11" t="str">
        <f aca="false">IFERROR(INDEX(Inventory!$J$2:$J$381,MATCH($B99,Inventory!$P$2:$P$381,0)),"")</f>
        <v>Not counted</v>
      </c>
    </row>
    <row r="100" customFormat="false" ht="15" hidden="false" customHeight="false" outlineLevel="0" collapsed="false">
      <c r="B100" s="5" t="n">
        <v>95</v>
      </c>
      <c r="C100" s="10" t="str">
        <f aca="false">IFERROR(INDEX(Inventory!$B$2:$B$381,MATCH($B100,Inventory!$P$2:$P$381,0)),"")</f>
        <v>Forsive</v>
      </c>
      <c r="D100" s="10" t="str">
        <f aca="false">IFERROR(INDEX(Inventory!$C$2:$C$381,MATCH($B100,Inventory!$P$2:$P$381,0)),"")</f>
        <v>Tool</v>
      </c>
      <c r="E100" s="18" t="str">
        <f aca="false">IFERROR(INDEX(Inventory!$E$2:$E$381,MATCH($B100,Inventory!$P$2:$P$381,0)),"")</f>
        <v>UNASSIGNED</v>
      </c>
      <c r="F100" s="11" t="str">
        <f aca="false">IFERROR(INDEX(Inventory!$H$2:$H$381,MATCH($B100,Inventory!$P$2:$P$381,0)),"")</f>
        <v/>
      </c>
      <c r="G100" s="11" t="n">
        <f aca="false">IFERROR(INDEX(Inventory!$I$2:$I$381,MATCH($B100,Inventory!$P$2:$P$381,0)),"")</f>
        <v>1</v>
      </c>
      <c r="H100" s="19" t="str">
        <f aca="false">IF($C100="","",IF($F100="","count it",MAX(0,$G100-$F100)))</f>
        <v>count it</v>
      </c>
      <c r="I100" s="11" t="str">
        <f aca="false">IFERROR(INDEX(Inventory!$J$2:$J$381,MATCH($B100,Inventory!$P$2:$P$381,0)),"")</f>
        <v>Not counted</v>
      </c>
    </row>
    <row r="101" customFormat="false" ht="15" hidden="false" customHeight="false" outlineLevel="0" collapsed="false">
      <c r="B101" s="5" t="n">
        <v>96</v>
      </c>
      <c r="C101" s="10" t="str">
        <f aca="false">IFERROR(INDEX(Inventory!$B$2:$B$381,MATCH($B101,Inventory!$P$2:$P$381,0)),"")</f>
        <v>Crocodile Cable/ Multimeter</v>
      </c>
      <c r="D101" s="10" t="str">
        <f aca="false">IFERROR(INDEX(Inventory!$C$2:$C$381,MATCH($B101,Inventory!$P$2:$P$381,0)),"")</f>
        <v>Wire</v>
      </c>
      <c r="E101" s="18" t="str">
        <f aca="false">IFERROR(INDEX(Inventory!$E$2:$E$381,MATCH($B101,Inventory!$P$2:$P$381,0)),"")</f>
        <v>UNASSIGNED</v>
      </c>
      <c r="F101" s="11" t="str">
        <f aca="false">IFERROR(INDEX(Inventory!$H$2:$H$381,MATCH($B101,Inventory!$P$2:$P$381,0)),"")</f>
        <v/>
      </c>
      <c r="G101" s="11" t="n">
        <f aca="false">IFERROR(INDEX(Inventory!$I$2:$I$381,MATCH($B101,Inventory!$P$2:$P$381,0)),"")</f>
        <v>2</v>
      </c>
      <c r="H101" s="19" t="str">
        <f aca="false">IF($C101="","",IF($F101="","count it",MAX(0,$G101-$F101)))</f>
        <v>count it</v>
      </c>
      <c r="I101" s="11" t="str">
        <f aca="false">IFERROR(INDEX(Inventory!$J$2:$J$381,MATCH($B101,Inventory!$P$2:$P$381,0)),"")</f>
        <v>Not counted</v>
      </c>
    </row>
    <row r="102" customFormat="false" ht="15" hidden="false" customHeight="false" outlineLevel="0" collapsed="false">
      <c r="B102" s="5" t="n">
        <v>97</v>
      </c>
      <c r="C102" s="10" t="str">
        <f aca="false">IFERROR(INDEX(Inventory!$B$2:$B$381,MATCH($B102,Inventory!$P$2:$P$381,0)),"")</f>
        <v>PCB Eathching Powder</v>
      </c>
      <c r="D102" s="10" t="str">
        <f aca="false">IFERROR(INDEX(Inventory!$C$2:$C$381,MATCH($B102,Inventory!$P$2:$P$381,0)),"")</f>
        <v>PCB</v>
      </c>
      <c r="E102" s="18" t="str">
        <f aca="false">IFERROR(INDEX(Inventory!$E$2:$E$381,MATCH($B102,Inventory!$P$2:$P$381,0)),"")</f>
        <v>UNASSIGNED</v>
      </c>
      <c r="F102" s="11" t="str">
        <f aca="false">IFERROR(INDEX(Inventory!$H$2:$H$381,MATCH($B102,Inventory!$P$2:$P$381,0)),"")</f>
        <v/>
      </c>
      <c r="G102" s="11" t="n">
        <f aca="false">IFERROR(INDEX(Inventory!$I$2:$I$381,MATCH($B102,Inventory!$P$2:$P$381,0)),"")</f>
        <v>1</v>
      </c>
      <c r="H102" s="19" t="str">
        <f aca="false">IF($C102="","",IF($F102="","count it",MAX(0,$G102-$F102)))</f>
        <v>count it</v>
      </c>
      <c r="I102" s="11" t="str">
        <f aca="false">IFERROR(INDEX(Inventory!$J$2:$J$381,MATCH($B102,Inventory!$P$2:$P$381,0)),"")</f>
        <v>Not counted</v>
      </c>
    </row>
    <row r="103" customFormat="false" ht="15" hidden="false" customHeight="false" outlineLevel="0" collapsed="false">
      <c r="B103" s="5" t="n">
        <v>98</v>
      </c>
      <c r="C103" s="10" t="str">
        <f aca="false">IFERROR(INDEX(Inventory!$B$2:$B$381,MATCH($B103,Inventory!$P$2:$P$381,0)),"")</f>
        <v>Servo Motor (SG 90)</v>
      </c>
      <c r="D103" s="10" t="str">
        <f aca="false">IFERROR(INDEX(Inventory!$C$2:$C$381,MATCH($B103,Inventory!$P$2:$P$381,0)),"")</f>
        <v>Motor</v>
      </c>
      <c r="E103" s="18" t="str">
        <f aca="false">IFERROR(INDEX(Inventory!$E$2:$E$381,MATCH($B103,Inventory!$P$2:$P$381,0)),"")</f>
        <v>A9</v>
      </c>
      <c r="F103" s="11" t="n">
        <f aca="false">IFERROR(INDEX(Inventory!$H$2:$H$381,MATCH($B103,Inventory!$P$2:$P$381,0)),"")</f>
        <v>1</v>
      </c>
      <c r="G103" s="11" t="n">
        <f aca="false">IFERROR(INDEX(Inventory!$I$2:$I$381,MATCH($B103,Inventory!$P$2:$P$381,0)),"")</f>
        <v>2</v>
      </c>
      <c r="H103" s="19" t="n">
        <f aca="false">IF($C103="","",IF($F103="","count it",MAX(0,$G103-$F103)))</f>
        <v>1</v>
      </c>
      <c r="I103" s="11" t="str">
        <f aca="false">IFERROR(INDEX(Inventory!$J$2:$J$381,MATCH($B103,Inventory!$P$2:$P$381,0)),"")</f>
        <v>Low stock</v>
      </c>
    </row>
    <row r="104" customFormat="false" ht="15" hidden="false" customHeight="false" outlineLevel="0" collapsed="false">
      <c r="B104" s="5" t="n">
        <v>99</v>
      </c>
      <c r="C104" s="10" t="str">
        <f aca="false">IFERROR(INDEX(Inventory!$B$2:$B$381,MATCH($B104,Inventory!$P$2:$P$381,0)),"")</f>
        <v>Bulb Holder</v>
      </c>
      <c r="D104" s="10" t="str">
        <f aca="false">IFERROR(INDEX(Inventory!$C$2:$C$381,MATCH($B104,Inventory!$P$2:$P$381,0)),"")</f>
        <v>Lamp</v>
      </c>
      <c r="E104" s="18" t="str">
        <f aca="false">IFERROR(INDEX(Inventory!$E$2:$E$381,MATCH($B104,Inventory!$P$2:$P$381,0)),"")</f>
        <v>UNASSIGNED</v>
      </c>
      <c r="F104" s="11" t="str">
        <f aca="false">IFERROR(INDEX(Inventory!$H$2:$H$381,MATCH($B104,Inventory!$P$2:$P$381,0)),"")</f>
        <v/>
      </c>
      <c r="G104" s="11" t="n">
        <f aca="false">IFERROR(INDEX(Inventory!$I$2:$I$381,MATCH($B104,Inventory!$P$2:$P$381,0)),"")</f>
        <v>1</v>
      </c>
      <c r="H104" s="19" t="str">
        <f aca="false">IF($C104="","",IF($F104="","count it",MAX(0,$G104-$F104)))</f>
        <v>count it</v>
      </c>
      <c r="I104" s="11" t="str">
        <f aca="false">IFERROR(INDEX(Inventory!$J$2:$J$381,MATCH($B104,Inventory!$P$2:$P$381,0)),"")</f>
        <v>Not counted</v>
      </c>
    </row>
    <row r="105" customFormat="false" ht="15" hidden="false" customHeight="false" outlineLevel="0" collapsed="false">
      <c r="B105" s="5" t="n">
        <v>100</v>
      </c>
      <c r="C105" s="10" t="str">
        <f aca="false">IFERROR(INDEX(Inventory!$B$2:$B$381,MATCH($B105,Inventory!$P$2:$P$381,0)),"")</f>
        <v>Bulb Holder</v>
      </c>
      <c r="D105" s="10" t="str">
        <f aca="false">IFERROR(INDEX(Inventory!$C$2:$C$381,MATCH($B105,Inventory!$P$2:$P$381,0)),"")</f>
        <v>Lamp</v>
      </c>
      <c r="E105" s="18" t="str">
        <f aca="false">IFERROR(INDEX(Inventory!$E$2:$E$381,MATCH($B105,Inventory!$P$2:$P$381,0)),"")</f>
        <v>UNASSIGNED</v>
      </c>
      <c r="F105" s="11" t="str">
        <f aca="false">IFERROR(INDEX(Inventory!$H$2:$H$381,MATCH($B105,Inventory!$P$2:$P$381,0)),"")</f>
        <v/>
      </c>
      <c r="G105" s="11" t="n">
        <f aca="false">IFERROR(INDEX(Inventory!$I$2:$I$381,MATCH($B105,Inventory!$P$2:$P$381,0)),"")</f>
        <v>1</v>
      </c>
      <c r="H105" s="19" t="str">
        <f aca="false">IF($C105="","",IF($F105="","count it",MAX(0,$G105-$F105)))</f>
        <v>count it</v>
      </c>
      <c r="I105" s="11" t="str">
        <f aca="false">IFERROR(INDEX(Inventory!$J$2:$J$381,MATCH($B105,Inventory!$P$2:$P$381,0)),"")</f>
        <v>Not counted</v>
      </c>
    </row>
    <row r="106" customFormat="false" ht="15" hidden="false" customHeight="false" outlineLevel="0" collapsed="false">
      <c r="B106" s="5" t="n">
        <v>101</v>
      </c>
      <c r="C106" s="10" t="str">
        <f aca="false">IFERROR(INDEX(Inventory!$B$2:$B$381,MATCH($B106,Inventory!$P$2:$P$381,0)),"")</f>
        <v>Transformer</v>
      </c>
      <c r="D106" s="10" t="str">
        <f aca="false">IFERROR(INDEX(Inventory!$C$2:$C$381,MATCH($B106,Inventory!$P$2:$P$381,0)),"")</f>
        <v>Power</v>
      </c>
      <c r="E106" s="18" t="str">
        <f aca="false">IFERROR(INDEX(Inventory!$E$2:$E$381,MATCH($B106,Inventory!$P$2:$P$381,0)),"")</f>
        <v>UNASSIGNED</v>
      </c>
      <c r="F106" s="11" t="str">
        <f aca="false">IFERROR(INDEX(Inventory!$H$2:$H$381,MATCH($B106,Inventory!$P$2:$P$381,0)),"")</f>
        <v/>
      </c>
      <c r="G106" s="11" t="n">
        <f aca="false">IFERROR(INDEX(Inventory!$I$2:$I$381,MATCH($B106,Inventory!$P$2:$P$381,0)),"")</f>
        <v>2</v>
      </c>
      <c r="H106" s="19" t="str">
        <f aca="false">IF($C106="","",IF($F106="","count it",MAX(0,$G106-$F106)))</f>
        <v>count it</v>
      </c>
      <c r="I106" s="11" t="str">
        <f aca="false">IFERROR(INDEX(Inventory!$J$2:$J$381,MATCH($B106,Inventory!$P$2:$P$381,0)),"")</f>
        <v>Not counted</v>
      </c>
    </row>
    <row r="107" customFormat="false" ht="15" hidden="false" customHeight="false" outlineLevel="0" collapsed="false">
      <c r="B107" s="5" t="n">
        <v>102</v>
      </c>
      <c r="C107" s="10" t="str">
        <f aca="false">IFERROR(INDEX(Inventory!$B$2:$B$381,MATCH($B107,Inventory!$P$2:$P$381,0)),"")</f>
        <v>Two Pin</v>
      </c>
      <c r="D107" s="10" t="str">
        <f aca="false">IFERROR(INDEX(Inventory!$C$2:$C$381,MATCH($B107,Inventory!$P$2:$P$381,0)),"")</f>
        <v>Connector</v>
      </c>
      <c r="E107" s="18" t="str">
        <f aca="false">IFERROR(INDEX(Inventory!$E$2:$E$381,MATCH($B107,Inventory!$P$2:$P$381,0)),"")</f>
        <v>UNASSIGNED</v>
      </c>
      <c r="F107" s="11" t="str">
        <f aca="false">IFERROR(INDEX(Inventory!$H$2:$H$381,MATCH($B107,Inventory!$P$2:$P$381,0)),"")</f>
        <v/>
      </c>
      <c r="G107" s="11" t="n">
        <f aca="false">IFERROR(INDEX(Inventory!$I$2:$I$381,MATCH($B107,Inventory!$P$2:$P$381,0)),"")</f>
        <v>4</v>
      </c>
      <c r="H107" s="19" t="str">
        <f aca="false">IF($C107="","",IF($F107="","count it",MAX(0,$G107-$F107)))</f>
        <v>count it</v>
      </c>
      <c r="I107" s="11" t="str">
        <f aca="false">IFERROR(INDEX(Inventory!$J$2:$J$381,MATCH($B107,Inventory!$P$2:$P$381,0)),"")</f>
        <v>Not counted</v>
      </c>
    </row>
    <row r="108" customFormat="false" ht="15" hidden="false" customHeight="false" outlineLevel="0" collapsed="false">
      <c r="B108" s="5" t="n">
        <v>103</v>
      </c>
      <c r="C108" s="10" t="str">
        <f aca="false">IFERROR(INDEX(Inventory!$B$2:$B$381,MATCH($B108,Inventory!$P$2:$P$381,0)),"")</f>
        <v>Three Pin</v>
      </c>
      <c r="D108" s="10" t="str">
        <f aca="false">IFERROR(INDEX(Inventory!$C$2:$C$381,MATCH($B108,Inventory!$P$2:$P$381,0)),"")</f>
        <v>Connector</v>
      </c>
      <c r="E108" s="18" t="str">
        <f aca="false">IFERROR(INDEX(Inventory!$E$2:$E$381,MATCH($B108,Inventory!$P$2:$P$381,0)),"")</f>
        <v>UNASSIGNED</v>
      </c>
      <c r="F108" s="11" t="str">
        <f aca="false">IFERROR(INDEX(Inventory!$H$2:$H$381,MATCH($B108,Inventory!$P$2:$P$381,0)),"")</f>
        <v/>
      </c>
      <c r="G108" s="11" t="n">
        <f aca="false">IFERROR(INDEX(Inventory!$I$2:$I$381,MATCH($B108,Inventory!$P$2:$P$381,0)),"")</f>
        <v>4</v>
      </c>
      <c r="H108" s="19" t="str">
        <f aca="false">IF($C108="","",IF($F108="","count it",MAX(0,$G108-$F108)))</f>
        <v>count it</v>
      </c>
      <c r="I108" s="11" t="str">
        <f aca="false">IFERROR(INDEX(Inventory!$J$2:$J$381,MATCH($B108,Inventory!$P$2:$P$381,0)),"")</f>
        <v>Not counted</v>
      </c>
    </row>
    <row r="109" customFormat="false" ht="15" hidden="false" customHeight="false" outlineLevel="0" collapsed="false">
      <c r="B109" s="5" t="n">
        <v>104</v>
      </c>
      <c r="C109" s="10" t="str">
        <f aca="false">IFERROR(INDEX(Inventory!$B$2:$B$381,MATCH($B109,Inventory!$P$2:$P$381,0)),"")</f>
        <v>Wire Slive</v>
      </c>
      <c r="D109" s="10" t="str">
        <f aca="false">IFERROR(INDEX(Inventory!$C$2:$C$381,MATCH($B109,Inventory!$P$2:$P$381,0)),"")</f>
        <v>Wire</v>
      </c>
      <c r="E109" s="18" t="str">
        <f aca="false">IFERROR(INDEX(Inventory!$E$2:$E$381,MATCH($B109,Inventory!$P$2:$P$381,0)),"")</f>
        <v>UNASSIGNED</v>
      </c>
      <c r="F109" s="11" t="str">
        <f aca="false">IFERROR(INDEX(Inventory!$H$2:$H$381,MATCH($B109,Inventory!$P$2:$P$381,0)),"")</f>
        <v/>
      </c>
      <c r="G109" s="11" t="n">
        <f aca="false">IFERROR(INDEX(Inventory!$I$2:$I$381,MATCH($B109,Inventory!$P$2:$P$381,0)),"")</f>
        <v>2</v>
      </c>
      <c r="H109" s="19" t="str">
        <f aca="false">IF($C109="","",IF($F109="","count it",MAX(0,$G109-$F109)))</f>
        <v>count it</v>
      </c>
      <c r="I109" s="11" t="str">
        <f aca="false">IFERROR(INDEX(Inventory!$J$2:$J$381,MATCH($B109,Inventory!$P$2:$P$381,0)),"")</f>
        <v>Not counted</v>
      </c>
    </row>
    <row r="110" customFormat="false" ht="15" hidden="false" customHeight="false" outlineLevel="0" collapsed="false">
      <c r="B110" s="5" t="n">
        <v>105</v>
      </c>
      <c r="C110" s="10" t="str">
        <f aca="false">IFERROR(INDEX(Inventory!$B$2:$B$381,MATCH($B110,Inventory!$P$2:$P$381,0)),"")</f>
        <v>Rainbow Wire</v>
      </c>
      <c r="D110" s="10" t="str">
        <f aca="false">IFERROR(INDEX(Inventory!$C$2:$C$381,MATCH($B110,Inventory!$P$2:$P$381,0)),"")</f>
        <v>Wire</v>
      </c>
      <c r="E110" s="18" t="str">
        <f aca="false">IFERROR(INDEX(Inventory!$E$2:$E$381,MATCH($B110,Inventory!$P$2:$P$381,0)),"")</f>
        <v>UNASSIGNED</v>
      </c>
      <c r="F110" s="11" t="str">
        <f aca="false">IFERROR(INDEX(Inventory!$H$2:$H$381,MATCH($B110,Inventory!$P$2:$P$381,0)),"")</f>
        <v/>
      </c>
      <c r="G110" s="11" t="n">
        <f aca="false">IFERROR(INDEX(Inventory!$I$2:$I$381,MATCH($B110,Inventory!$P$2:$P$381,0)),"")</f>
        <v>2</v>
      </c>
      <c r="H110" s="19" t="str">
        <f aca="false">IF($C110="","",IF($F110="","count it",MAX(0,$G110-$F110)))</f>
        <v>count it</v>
      </c>
      <c r="I110" s="11" t="str">
        <f aca="false">IFERROR(INDEX(Inventory!$J$2:$J$381,MATCH($B110,Inventory!$P$2:$P$381,0)),"")</f>
        <v>Not counted</v>
      </c>
    </row>
    <row r="111" customFormat="false" ht="15" hidden="false" customHeight="false" outlineLevel="0" collapsed="false">
      <c r="B111" s="5" t="n">
        <v>106</v>
      </c>
      <c r="C111" s="10" t="str">
        <f aca="false">IFERROR(INDEX(Inventory!$B$2:$B$381,MATCH($B111,Inventory!$P$2:$P$381,0)),"")</f>
        <v>multimeter</v>
      </c>
      <c r="D111" s="10" t="str">
        <f aca="false">IFERROR(INDEX(Inventory!$C$2:$C$381,MATCH($B111,Inventory!$P$2:$P$381,0)),"")</f>
        <v>Tool</v>
      </c>
      <c r="E111" s="18" t="str">
        <f aca="false">IFERROR(INDEX(Inventory!$E$2:$E$381,MATCH($B111,Inventory!$P$2:$P$381,0)),"")</f>
        <v>UNASSIGNED</v>
      </c>
      <c r="F111" s="11" t="str">
        <f aca="false">IFERROR(INDEX(Inventory!$H$2:$H$381,MATCH($B111,Inventory!$P$2:$P$381,0)),"")</f>
        <v/>
      </c>
      <c r="G111" s="11" t="n">
        <f aca="false">IFERROR(INDEX(Inventory!$I$2:$I$381,MATCH($B111,Inventory!$P$2:$P$381,0)),"")</f>
        <v>1</v>
      </c>
      <c r="H111" s="19" t="str">
        <f aca="false">IF($C111="","",IF($F111="","count it",MAX(0,$G111-$F111)))</f>
        <v>count it</v>
      </c>
      <c r="I111" s="11" t="str">
        <f aca="false">IFERROR(INDEX(Inventory!$J$2:$J$381,MATCH($B111,Inventory!$P$2:$P$381,0)),"")</f>
        <v>Not counted</v>
      </c>
    </row>
    <row r="112" customFormat="false" ht="15" hidden="false" customHeight="false" outlineLevel="0" collapsed="false">
      <c r="B112" s="5" t="n">
        <v>107</v>
      </c>
      <c r="C112" s="10" t="str">
        <f aca="false">IFERROR(INDEX(Inventory!$B$2:$B$381,MATCH($B112,Inventory!$P$2:$P$381,0)),"")</f>
        <v>Screw Driver</v>
      </c>
      <c r="D112" s="10" t="str">
        <f aca="false">IFERROR(INDEX(Inventory!$C$2:$C$381,MATCH($B112,Inventory!$P$2:$P$381,0)),"")</f>
        <v>Tool</v>
      </c>
      <c r="E112" s="18" t="str">
        <f aca="false">IFERROR(INDEX(Inventory!$E$2:$E$381,MATCH($B112,Inventory!$P$2:$P$381,0)),"")</f>
        <v>UNASSIGNED</v>
      </c>
      <c r="F112" s="11" t="str">
        <f aca="false">IFERROR(INDEX(Inventory!$H$2:$H$381,MATCH($B112,Inventory!$P$2:$P$381,0)),"")</f>
        <v/>
      </c>
      <c r="G112" s="11" t="n">
        <f aca="false">IFERROR(INDEX(Inventory!$I$2:$I$381,MATCH($B112,Inventory!$P$2:$P$381,0)),"")</f>
        <v>1</v>
      </c>
      <c r="H112" s="19" t="str">
        <f aca="false">IF($C112="","",IF($F112="","count it",MAX(0,$G112-$F112)))</f>
        <v>count it</v>
      </c>
      <c r="I112" s="11" t="str">
        <f aca="false">IFERROR(INDEX(Inventory!$J$2:$J$381,MATCH($B112,Inventory!$P$2:$P$381,0)),"")</f>
        <v>Not counted</v>
      </c>
    </row>
    <row r="113" customFormat="false" ht="15" hidden="false" customHeight="false" outlineLevel="0" collapsed="false">
      <c r="B113" s="5" t="n">
        <v>108</v>
      </c>
      <c r="C113" s="10" t="str">
        <f aca="false">IFERROR(INDEX(Inventory!$B$2:$B$381,MATCH($B113,Inventory!$P$2:$P$381,0)),"")</f>
        <v>Robo Chesis</v>
      </c>
      <c r="D113" s="10" t="str">
        <f aca="false">IFERROR(INDEX(Inventory!$C$2:$C$381,MATCH($B113,Inventory!$P$2:$P$381,0)),"")</f>
        <v>Chassis</v>
      </c>
      <c r="E113" s="18" t="str">
        <f aca="false">IFERROR(INDEX(Inventory!$E$2:$E$381,MATCH($B113,Inventory!$P$2:$P$381,0)),"")</f>
        <v>UNASSIGNED</v>
      </c>
      <c r="F113" s="11" t="str">
        <f aca="false">IFERROR(INDEX(Inventory!$H$2:$H$381,MATCH($B113,Inventory!$P$2:$P$381,0)),"")</f>
        <v/>
      </c>
      <c r="G113" s="11" t="n">
        <f aca="false">IFERROR(INDEX(Inventory!$I$2:$I$381,MATCH($B113,Inventory!$P$2:$P$381,0)),"")</f>
        <v>1</v>
      </c>
      <c r="H113" s="19" t="str">
        <f aca="false">IF($C113="","",IF($F113="","count it",MAX(0,$G113-$F113)))</f>
        <v>count it</v>
      </c>
      <c r="I113" s="11" t="str">
        <f aca="false">IFERROR(INDEX(Inventory!$J$2:$J$381,MATCH($B113,Inventory!$P$2:$P$381,0)),"")</f>
        <v>Not counted</v>
      </c>
    </row>
    <row r="114" customFormat="false" ht="15" hidden="false" customHeight="false" outlineLevel="0" collapsed="false">
      <c r="B114" s="5" t="n">
        <v>109</v>
      </c>
      <c r="C114" s="10" t="str">
        <f aca="false">IFERROR(INDEX(Inventory!$B$2:$B$381,MATCH($B114,Inventory!$P$2:$P$381,0)),"")</f>
        <v>BO Motor</v>
      </c>
      <c r="D114" s="10" t="str">
        <f aca="false">IFERROR(INDEX(Inventory!$C$2:$C$381,MATCH($B114,Inventory!$P$2:$P$381,0)),"")</f>
        <v>Motor</v>
      </c>
      <c r="E114" s="18" t="str">
        <f aca="false">IFERROR(INDEX(Inventory!$E$2:$E$381,MATCH($B114,Inventory!$P$2:$P$381,0)),"")</f>
        <v>UNASSIGNED</v>
      </c>
      <c r="F114" s="11" t="str">
        <f aca="false">IFERROR(INDEX(Inventory!$H$2:$H$381,MATCH($B114,Inventory!$P$2:$P$381,0)),"")</f>
        <v/>
      </c>
      <c r="G114" s="11" t="n">
        <f aca="false">IFERROR(INDEX(Inventory!$I$2:$I$381,MATCH($B114,Inventory!$P$2:$P$381,0)),"")</f>
        <v>2</v>
      </c>
      <c r="H114" s="19" t="str">
        <f aca="false">IF($C114="","",IF($F114="","count it",MAX(0,$G114-$F114)))</f>
        <v>count it</v>
      </c>
      <c r="I114" s="11" t="str">
        <f aca="false">IFERROR(INDEX(Inventory!$J$2:$J$381,MATCH($B114,Inventory!$P$2:$P$381,0)),"")</f>
        <v>Not counted</v>
      </c>
    </row>
    <row r="115" customFormat="false" ht="15" hidden="false" customHeight="false" outlineLevel="0" collapsed="false">
      <c r="B115" s="5" t="n">
        <v>110</v>
      </c>
      <c r="C115" s="10" t="str">
        <f aca="false">IFERROR(INDEX(Inventory!$B$2:$B$381,MATCH($B115,Inventory!$P$2:$P$381,0)),"")</f>
        <v>Rasberry Pi</v>
      </c>
      <c r="D115" s="10" t="str">
        <f aca="false">IFERROR(INDEX(Inventory!$C$2:$C$381,MATCH($B115,Inventory!$P$2:$P$381,0)),"")</f>
        <v>MCU / Dev Board</v>
      </c>
      <c r="E115" s="18" t="str">
        <f aca="false">IFERROR(INDEX(Inventory!$E$2:$E$381,MATCH($B115,Inventory!$P$2:$P$381,0)),"")</f>
        <v>UNASSIGNED</v>
      </c>
      <c r="F115" s="11" t="str">
        <f aca="false">IFERROR(INDEX(Inventory!$H$2:$H$381,MATCH($B115,Inventory!$P$2:$P$381,0)),"")</f>
        <v/>
      </c>
      <c r="G115" s="11" t="n">
        <f aca="false">IFERROR(INDEX(Inventory!$I$2:$I$381,MATCH($B115,Inventory!$P$2:$P$381,0)),"")</f>
        <v>1</v>
      </c>
      <c r="H115" s="19" t="str">
        <f aca="false">IF($C115="","",IF($F115="","count it",MAX(0,$G115-$F115)))</f>
        <v>count it</v>
      </c>
      <c r="I115" s="11" t="str">
        <f aca="false">IFERROR(INDEX(Inventory!$J$2:$J$381,MATCH($B115,Inventory!$P$2:$P$381,0)),"")</f>
        <v>Not counted</v>
      </c>
    </row>
    <row r="116" customFormat="false" ht="15" hidden="false" customHeight="false" outlineLevel="0" collapsed="false">
      <c r="B116" s="5" t="n">
        <v>111</v>
      </c>
      <c r="C116" s="10" t="str">
        <f aca="false">IFERROR(INDEX(Inventory!$B$2:$B$381,MATCH($B116,Inventory!$P$2:$P$381,0)),"")</f>
        <v>Jetson Nano</v>
      </c>
      <c r="D116" s="10" t="str">
        <f aca="false">IFERROR(INDEX(Inventory!$C$2:$C$381,MATCH($B116,Inventory!$P$2:$P$381,0)),"")</f>
        <v>MCU / Dev Board</v>
      </c>
      <c r="E116" s="18" t="str">
        <f aca="false">IFERROR(INDEX(Inventory!$E$2:$E$381,MATCH($B116,Inventory!$P$2:$P$381,0)),"")</f>
        <v>UNASSIGNED</v>
      </c>
      <c r="F116" s="11" t="str">
        <f aca="false">IFERROR(INDEX(Inventory!$H$2:$H$381,MATCH($B116,Inventory!$P$2:$P$381,0)),"")</f>
        <v/>
      </c>
      <c r="G116" s="11" t="n">
        <f aca="false">IFERROR(INDEX(Inventory!$I$2:$I$381,MATCH($B116,Inventory!$P$2:$P$381,0)),"")</f>
        <v>1</v>
      </c>
      <c r="H116" s="19" t="str">
        <f aca="false">IF($C116="","",IF($F116="","count it",MAX(0,$G116-$F116)))</f>
        <v>count it</v>
      </c>
      <c r="I116" s="11" t="str">
        <f aca="false">IFERROR(INDEX(Inventory!$J$2:$J$381,MATCH($B116,Inventory!$P$2:$P$381,0)),"")</f>
        <v>Not counted</v>
      </c>
    </row>
    <row r="117" customFormat="false" ht="15" hidden="false" customHeight="false" outlineLevel="0" collapsed="false">
      <c r="B117" s="5" t="n">
        <v>112</v>
      </c>
      <c r="C117" s="10" t="str">
        <f aca="false">IFERROR(INDEX(Inventory!$B$2:$B$381,MATCH($B117,Inventory!$P$2:$P$381,0)),"")</f>
        <v>LCD(R-pi/ jetson)</v>
      </c>
      <c r="D117" s="10" t="str">
        <f aca="false">IFERROR(INDEX(Inventory!$C$2:$C$381,MATCH($B117,Inventory!$P$2:$P$381,0)),"")</f>
        <v>Display</v>
      </c>
      <c r="E117" s="18" t="str">
        <f aca="false">IFERROR(INDEX(Inventory!$E$2:$E$381,MATCH($B117,Inventory!$P$2:$P$381,0)),"")</f>
        <v>UNASSIGNED</v>
      </c>
      <c r="F117" s="11" t="str">
        <f aca="false">IFERROR(INDEX(Inventory!$H$2:$H$381,MATCH($B117,Inventory!$P$2:$P$381,0)),"")</f>
        <v/>
      </c>
      <c r="G117" s="11" t="n">
        <f aca="false">IFERROR(INDEX(Inventory!$I$2:$I$381,MATCH($B117,Inventory!$P$2:$P$381,0)),"")</f>
        <v>1</v>
      </c>
      <c r="H117" s="19" t="str">
        <f aca="false">IF($C117="","",IF($F117="","count it",MAX(0,$G117-$F117)))</f>
        <v>count it</v>
      </c>
      <c r="I117" s="11" t="str">
        <f aca="false">IFERROR(INDEX(Inventory!$J$2:$J$381,MATCH($B117,Inventory!$P$2:$P$381,0)),"")</f>
        <v>Not counted</v>
      </c>
    </row>
    <row r="118" customFormat="false" ht="15" hidden="false" customHeight="false" outlineLevel="0" collapsed="false">
      <c r="B118" s="5" t="n">
        <v>113</v>
      </c>
      <c r="C118" s="10" t="str">
        <f aca="false">IFERROR(INDEX(Inventory!$B$2:$B$381,MATCH($B118,Inventory!$P$2:$P$381,0)),"")</f>
        <v>Type-c to Micro</v>
      </c>
      <c r="D118" s="10" t="str">
        <f aca="false">IFERROR(INDEX(Inventory!$C$2:$C$381,MATCH($B118,Inventory!$P$2:$P$381,0)),"")</f>
        <v>Converter</v>
      </c>
      <c r="E118" s="18" t="str">
        <f aca="false">IFERROR(INDEX(Inventory!$E$2:$E$381,MATCH($B118,Inventory!$P$2:$P$381,0)),"")</f>
        <v>UNASSIGNED</v>
      </c>
      <c r="F118" s="11" t="str">
        <f aca="false">IFERROR(INDEX(Inventory!$H$2:$H$381,MATCH($B118,Inventory!$P$2:$P$381,0)),"")</f>
        <v/>
      </c>
      <c r="G118" s="11" t="n">
        <f aca="false">IFERROR(INDEX(Inventory!$I$2:$I$381,MATCH($B118,Inventory!$P$2:$P$381,0)),"")</f>
        <v>1</v>
      </c>
      <c r="H118" s="19" t="str">
        <f aca="false">IF($C118="","",IF($F118="","count it",MAX(0,$G118-$F118)))</f>
        <v>count it</v>
      </c>
      <c r="I118" s="11" t="str">
        <f aca="false">IFERROR(INDEX(Inventory!$J$2:$J$381,MATCH($B118,Inventory!$P$2:$P$381,0)),"")</f>
        <v>Not counted</v>
      </c>
    </row>
    <row r="119" customFormat="false" ht="15" hidden="false" customHeight="false" outlineLevel="0" collapsed="false">
      <c r="B119" s="5" t="n">
        <v>114</v>
      </c>
      <c r="C119" s="10" t="str">
        <f aca="false">IFERROR(INDEX(Inventory!$B$2:$B$381,MATCH($B119,Inventory!$P$2:$P$381,0)),"")</f>
        <v>HDMI to vga Converter</v>
      </c>
      <c r="D119" s="10" t="str">
        <f aca="false">IFERROR(INDEX(Inventory!$C$2:$C$381,MATCH($B119,Inventory!$P$2:$P$381,0)),"")</f>
        <v>Converter</v>
      </c>
      <c r="E119" s="18" t="str">
        <f aca="false">IFERROR(INDEX(Inventory!$E$2:$E$381,MATCH($B119,Inventory!$P$2:$P$381,0)),"")</f>
        <v>UNASSIGNED</v>
      </c>
      <c r="F119" s="11" t="str">
        <f aca="false">IFERROR(INDEX(Inventory!$H$2:$H$381,MATCH($B119,Inventory!$P$2:$P$381,0)),"")</f>
        <v/>
      </c>
      <c r="G119" s="11" t="n">
        <f aca="false">IFERROR(INDEX(Inventory!$I$2:$I$381,MATCH($B119,Inventory!$P$2:$P$381,0)),"")</f>
        <v>1</v>
      </c>
      <c r="H119" s="19" t="str">
        <f aca="false">IF($C119="","",IF($F119="","count it",MAX(0,$G119-$F119)))</f>
        <v>count it</v>
      </c>
      <c r="I119" s="11" t="str">
        <f aca="false">IFERROR(INDEX(Inventory!$J$2:$J$381,MATCH($B119,Inventory!$P$2:$P$381,0)),"")</f>
        <v>Not counted</v>
      </c>
    </row>
    <row r="120" customFormat="false" ht="15" hidden="false" customHeight="false" outlineLevel="0" collapsed="false">
      <c r="B120" s="5" t="n">
        <v>115</v>
      </c>
      <c r="C120" s="10" t="str">
        <f aca="false">IFERROR(INDEX(Inventory!$B$2:$B$381,MATCH($B120,Inventory!$P$2:$P$381,0)),"")</f>
        <v>Cable-Tie</v>
      </c>
      <c r="D120" s="10" t="str">
        <f aca="false">IFERROR(INDEX(Inventory!$C$2:$C$381,MATCH($B120,Inventory!$P$2:$P$381,0)),"")</f>
        <v>Misc</v>
      </c>
      <c r="E120" s="18" t="str">
        <f aca="false">IFERROR(INDEX(Inventory!$E$2:$E$381,MATCH($B120,Inventory!$P$2:$P$381,0)),"")</f>
        <v>UNASSIGNED</v>
      </c>
      <c r="F120" s="11" t="str">
        <f aca="false">IFERROR(INDEX(Inventory!$H$2:$H$381,MATCH($B120,Inventory!$P$2:$P$381,0)),"")</f>
        <v/>
      </c>
      <c r="G120" s="11" t="n">
        <f aca="false">IFERROR(INDEX(Inventory!$I$2:$I$381,MATCH($B120,Inventory!$P$2:$P$381,0)),"")</f>
        <v>2</v>
      </c>
      <c r="H120" s="19" t="str">
        <f aca="false">IF($C120="","",IF($F120="","count it",MAX(0,$G120-$F120)))</f>
        <v>count it</v>
      </c>
      <c r="I120" s="11" t="str">
        <f aca="false">IFERROR(INDEX(Inventory!$J$2:$J$381,MATCH($B120,Inventory!$P$2:$P$381,0)),"")</f>
        <v>Not counted</v>
      </c>
    </row>
    <row r="121" customFormat="false" ht="15" hidden="false" customHeight="false" outlineLevel="0" collapsed="false">
      <c r="B121" s="5" t="n">
        <v>116</v>
      </c>
      <c r="C121" s="10" t="str">
        <f aca="false">IFERROR(INDEX(Inventory!$B$2:$B$381,MATCH($B121,Inventory!$P$2:$P$381,0)),"")</f>
        <v>SD Card Reader</v>
      </c>
      <c r="D121" s="10" t="str">
        <f aca="false">IFERROR(INDEX(Inventory!$C$2:$C$381,MATCH($B121,Inventory!$P$2:$P$381,0)),"")</f>
        <v>Module</v>
      </c>
      <c r="E121" s="18" t="str">
        <f aca="false">IFERROR(INDEX(Inventory!$E$2:$E$381,MATCH($B121,Inventory!$P$2:$P$381,0)),"")</f>
        <v>UNASSIGNED</v>
      </c>
      <c r="F121" s="11" t="str">
        <f aca="false">IFERROR(INDEX(Inventory!$H$2:$H$381,MATCH($B121,Inventory!$P$2:$P$381,0)),"")</f>
        <v/>
      </c>
      <c r="G121" s="11" t="n">
        <f aca="false">IFERROR(INDEX(Inventory!$I$2:$I$381,MATCH($B121,Inventory!$P$2:$P$381,0)),"")</f>
        <v>2</v>
      </c>
      <c r="H121" s="19" t="str">
        <f aca="false">IF($C121="","",IF($F121="","count it",MAX(0,$G121-$F121)))</f>
        <v>count it</v>
      </c>
      <c r="I121" s="11" t="str">
        <f aca="false">IFERROR(INDEX(Inventory!$J$2:$J$381,MATCH($B121,Inventory!$P$2:$P$381,0)),"")</f>
        <v>Not counted</v>
      </c>
    </row>
    <row r="122" customFormat="false" ht="15" hidden="false" customHeight="false" outlineLevel="0" collapsed="false">
      <c r="B122" s="5" t="n">
        <v>117</v>
      </c>
      <c r="C122" s="10" t="str">
        <f aca="false">IFERROR(INDEX(Inventory!$B$2:$B$381,MATCH($B122,Inventory!$P$2:$P$381,0)),"")</f>
        <v>SD Card</v>
      </c>
      <c r="D122" s="10" t="str">
        <f aca="false">IFERROR(INDEX(Inventory!$C$2:$C$381,MATCH($B122,Inventory!$P$2:$P$381,0)),"")</f>
        <v>Memory</v>
      </c>
      <c r="E122" s="18" t="str">
        <f aca="false">IFERROR(INDEX(Inventory!$E$2:$E$381,MATCH($B122,Inventory!$P$2:$P$381,0)),"")</f>
        <v>UNASSIGNED</v>
      </c>
      <c r="F122" s="11" t="str">
        <f aca="false">IFERROR(INDEX(Inventory!$H$2:$H$381,MATCH($B122,Inventory!$P$2:$P$381,0)),"")</f>
        <v/>
      </c>
      <c r="G122" s="11" t="n">
        <f aca="false">IFERROR(INDEX(Inventory!$I$2:$I$381,MATCH($B122,Inventory!$P$2:$P$381,0)),"")</f>
        <v>1</v>
      </c>
      <c r="H122" s="19" t="str">
        <f aca="false">IF($C122="","",IF($F122="","count it",MAX(0,$G122-$F122)))</f>
        <v>count it</v>
      </c>
      <c r="I122" s="11" t="str">
        <f aca="false">IFERROR(INDEX(Inventory!$J$2:$J$381,MATCH($B122,Inventory!$P$2:$P$381,0)),"")</f>
        <v>Not counted</v>
      </c>
    </row>
    <row r="123" customFormat="false" ht="15" hidden="false" customHeight="false" outlineLevel="0" collapsed="false">
      <c r="B123" s="5" t="n">
        <v>118</v>
      </c>
      <c r="C123" s="10" t="str">
        <f aca="false">IFERROR(INDEX(Inventory!$B$2:$B$381,MATCH($B123,Inventory!$P$2:$P$381,0)),"")</f>
        <v>Antenna Connector MH5 to MH5 (8-21-0045)</v>
      </c>
      <c r="D123" s="10" t="str">
        <f aca="false">IFERROR(INDEX(Inventory!$C$2:$C$381,MATCH($B123,Inventory!$P$2:$P$381,0)),"")</f>
        <v>Connector</v>
      </c>
      <c r="E123" s="18" t="str">
        <f aca="false">IFERROR(INDEX(Inventory!$E$2:$E$381,MATCH($B123,Inventory!$P$2:$P$381,0)),"")</f>
        <v>SMD BOX</v>
      </c>
      <c r="F123" s="11" t="n">
        <f aca="false">IFERROR(INDEX(Inventory!$H$2:$H$381,MATCH($B123,Inventory!$P$2:$P$381,0)),"")</f>
        <v>2</v>
      </c>
      <c r="G123" s="11" t="n">
        <f aca="false">IFERROR(INDEX(Inventory!$I$2:$I$381,MATCH($B123,Inventory!$P$2:$P$381,0)),"")</f>
        <v>4</v>
      </c>
      <c r="H123" s="19" t="n">
        <f aca="false">IF($C123="","",IF($F123="","count it",MAX(0,$G123-$F123)))</f>
        <v>2</v>
      </c>
      <c r="I123" s="11" t="str">
        <f aca="false">IFERROR(INDEX(Inventory!$J$2:$J$381,MATCH($B123,Inventory!$P$2:$P$381,0)),"")</f>
        <v>Low stock</v>
      </c>
    </row>
    <row r="124" customFormat="false" ht="15" hidden="false" customHeight="false" outlineLevel="0" collapsed="false">
      <c r="B124" s="5" t="n">
        <v>119</v>
      </c>
      <c r="C124" s="10" t="str">
        <f aca="false">IFERROR(INDEX(Inventory!$B$2:$B$381,MATCH($B124,Inventory!$P$2:$P$381,0)),"")</f>
        <v>Coton</v>
      </c>
      <c r="D124" s="10" t="str">
        <f aca="false">IFERROR(INDEX(Inventory!$C$2:$C$381,MATCH($B124,Inventory!$P$2:$P$381,0)),"")</f>
        <v>Misc</v>
      </c>
      <c r="E124" s="18" t="str">
        <f aca="false">IFERROR(INDEX(Inventory!$E$2:$E$381,MATCH($B124,Inventory!$P$2:$P$381,0)),"")</f>
        <v>CUPBOARD</v>
      </c>
      <c r="F124" s="11" t="n">
        <f aca="false">IFERROR(INDEX(Inventory!$H$2:$H$381,MATCH($B124,Inventory!$P$2:$P$381,0)),"")</f>
        <v>1</v>
      </c>
      <c r="G124" s="11" t="n">
        <f aca="false">IFERROR(INDEX(Inventory!$I$2:$I$381,MATCH($B124,Inventory!$P$2:$P$381,0)),"")</f>
        <v>2</v>
      </c>
      <c r="H124" s="19" t="n">
        <f aca="false">IF($C124="","",IF($F124="","count it",MAX(0,$G124-$F124)))</f>
        <v>1</v>
      </c>
      <c r="I124" s="11" t="str">
        <f aca="false">IFERROR(INDEX(Inventory!$J$2:$J$381,MATCH($B124,Inventory!$P$2:$P$381,0)),"")</f>
        <v>Low stock</v>
      </c>
    </row>
    <row r="125" customFormat="false" ht="15" hidden="false" customHeight="false" outlineLevel="0" collapsed="false">
      <c r="B125" s="5" t="n">
        <v>120</v>
      </c>
      <c r="C125" s="10" t="str">
        <f aca="false">IFERROR(INDEX(Inventory!$B$2:$B$381,MATCH($B125,Inventory!$P$2:$P$381,0)),"")</f>
        <v>Ultrasonic Sensor</v>
      </c>
      <c r="D125" s="10" t="str">
        <f aca="false">IFERROR(INDEX(Inventory!$C$2:$C$381,MATCH($B125,Inventory!$P$2:$P$381,0)),"")</f>
        <v>Sensor</v>
      </c>
      <c r="E125" s="18" t="str">
        <f aca="false">IFERROR(INDEX(Inventory!$E$2:$E$381,MATCH($B125,Inventory!$P$2:$P$381,0)),"")</f>
        <v>UNASSIGNED</v>
      </c>
      <c r="F125" s="11" t="n">
        <f aca="false">IFERROR(INDEX(Inventory!$H$2:$H$381,MATCH($B125,Inventory!$P$2:$P$381,0)),"")</f>
        <v>0</v>
      </c>
      <c r="G125" s="11" t="n">
        <f aca="false">IFERROR(INDEX(Inventory!$I$2:$I$381,MATCH($B125,Inventory!$P$2:$P$381,0)),"")</f>
        <v>2</v>
      </c>
      <c r="H125" s="19" t="n">
        <f aca="false">IF($C125="","",IF($F125="","count it",MAX(0,$G125-$F125)))</f>
        <v>2</v>
      </c>
      <c r="I125" s="11" t="str">
        <f aca="false">IFERROR(INDEX(Inventory!$J$2:$J$381,MATCH($B125,Inventory!$P$2:$P$381,0)),"")</f>
        <v>Out of stock</v>
      </c>
    </row>
    <row r="126" customFormat="false" ht="15" hidden="false" customHeight="false" outlineLevel="0" collapsed="false">
      <c r="B126" s="5" t="n">
        <v>121</v>
      </c>
      <c r="C126" s="10" t="str">
        <f aca="false">IFERROR(INDEX(Inventory!$B$2:$B$381,MATCH($B126,Inventory!$P$2:$P$381,0)),"")</f>
        <v>RGB LED Common Cathode</v>
      </c>
      <c r="D126" s="10" t="str">
        <f aca="false">IFERROR(INDEX(Inventory!$C$2:$C$381,MATCH($B126,Inventory!$P$2:$P$381,0)),"")</f>
        <v>LED</v>
      </c>
      <c r="E126" s="18" t="str">
        <f aca="false">IFERROR(INDEX(Inventory!$E$2:$E$381,MATCH($B126,Inventory!$P$2:$P$381,0)),"")</f>
        <v>UNASSIGNED</v>
      </c>
      <c r="F126" s="11" t="n">
        <f aca="false">IFERROR(INDEX(Inventory!$H$2:$H$381,MATCH($B126,Inventory!$P$2:$P$381,0)),"")</f>
        <v>0</v>
      </c>
      <c r="G126" s="11" t="n">
        <f aca="false">IFERROR(INDEX(Inventory!$I$2:$I$381,MATCH($B126,Inventory!$P$2:$P$381,0)),"")</f>
        <v>5</v>
      </c>
      <c r="H126" s="19" t="n">
        <f aca="false">IF($C126="","",IF($F126="","count it",MAX(0,$G126-$F126)))</f>
        <v>5</v>
      </c>
      <c r="I126" s="11" t="str">
        <f aca="false">IFERROR(INDEX(Inventory!$J$2:$J$381,MATCH($B126,Inventory!$P$2:$P$381,0)),"")</f>
        <v>Out of stock</v>
      </c>
    </row>
    <row r="127" customFormat="false" ht="15" hidden="false" customHeight="false" outlineLevel="0" collapsed="false">
      <c r="B127" s="5" t="n">
        <v>122</v>
      </c>
      <c r="C127" s="10" t="str">
        <f aca="false">IFERROR(INDEX(Inventory!$B$2:$B$381,MATCH($B127,Inventory!$P$2:$P$381,0)),"")</f>
        <v>3.7v 2500mah Lithium Battery</v>
      </c>
      <c r="D127" s="10" t="str">
        <f aca="false">IFERROR(INDEX(Inventory!$C$2:$C$381,MATCH($B127,Inventory!$P$2:$P$381,0)),"")</f>
        <v>Battery</v>
      </c>
      <c r="E127" s="18" t="str">
        <f aca="false">IFERROR(INDEX(Inventory!$E$2:$E$381,MATCH($B127,Inventory!$P$2:$P$381,0)),"")</f>
        <v>UNASSIGNED</v>
      </c>
      <c r="F127" s="11" t="n">
        <f aca="false">IFERROR(INDEX(Inventory!$H$2:$H$381,MATCH($B127,Inventory!$P$2:$P$381,0)),"")</f>
        <v>0</v>
      </c>
      <c r="G127" s="11" t="n">
        <f aca="false">IFERROR(INDEX(Inventory!$I$2:$I$381,MATCH($B127,Inventory!$P$2:$P$381,0)),"")</f>
        <v>2</v>
      </c>
      <c r="H127" s="19" t="n">
        <f aca="false">IF($C127="","",IF($F127="","count it",MAX(0,$G127-$F127)))</f>
        <v>2</v>
      </c>
      <c r="I127" s="11" t="str">
        <f aca="false">IFERROR(INDEX(Inventory!$J$2:$J$381,MATCH($B127,Inventory!$P$2:$P$381,0)),"")</f>
        <v>Out of stock</v>
      </c>
    </row>
    <row r="128" customFormat="false" ht="15" hidden="false" customHeight="false" outlineLevel="0" collapsed="false">
      <c r="B128" s="5" t="n">
        <v>123</v>
      </c>
      <c r="C128" s="10" t="str">
        <f aca="false">IFERROR(INDEX(Inventory!$B$2:$B$381,MATCH($B128,Inventory!$P$2:$P$381,0)),"")</f>
        <v>MM32-LINK Emulattor/Programmer</v>
      </c>
      <c r="D128" s="10" t="str">
        <f aca="false">IFERROR(INDEX(Inventory!$C$2:$C$381,MATCH($B128,Inventory!$P$2:$P$381,0)),"")</f>
        <v>Misc</v>
      </c>
      <c r="E128" s="18" t="str">
        <f aca="false">IFERROR(INDEX(Inventory!$E$2:$E$381,MATCH($B128,Inventory!$P$2:$P$381,0)),"")</f>
        <v>UNASSIGNED</v>
      </c>
      <c r="F128" s="11" t="n">
        <f aca="false">IFERROR(INDEX(Inventory!$H$2:$H$381,MATCH($B128,Inventory!$P$2:$P$381,0)),"")</f>
        <v>1</v>
      </c>
      <c r="G128" s="11" t="n">
        <f aca="false">IFERROR(INDEX(Inventory!$I$2:$I$381,MATCH($B128,Inventory!$P$2:$P$381,0)),"")</f>
        <v>2</v>
      </c>
      <c r="H128" s="19" t="n">
        <f aca="false">IF($C128="","",IF($F128="","count it",MAX(0,$G128-$F128)))</f>
        <v>1</v>
      </c>
      <c r="I128" s="11" t="str">
        <f aca="false">IFERROR(INDEX(Inventory!$J$2:$J$381,MATCH($B128,Inventory!$P$2:$P$381,0)),"")</f>
        <v>Low stock</v>
      </c>
    </row>
    <row r="129" customFormat="false" ht="15" hidden="false" customHeight="false" outlineLevel="0" collapsed="false">
      <c r="B129" s="5" t="n">
        <v>124</v>
      </c>
      <c r="C129" s="10" t="str">
        <f aca="false">IFERROR(INDEX(Inventory!$B$2:$B$381,MATCH($B129,Inventory!$P$2:$P$381,0)),"")</f>
        <v>ICM 20948 - 9 axis motion tracking module (Gyroscope)</v>
      </c>
      <c r="D129" s="10" t="str">
        <f aca="false">IFERROR(INDEX(Inventory!$C$2:$C$381,MATCH($B129,Inventory!$P$2:$P$381,0)),"")</f>
        <v>Sensor</v>
      </c>
      <c r="E129" s="18" t="str">
        <f aca="false">IFERROR(INDEX(Inventory!$E$2:$E$381,MATCH($B129,Inventory!$P$2:$P$381,0)),"")</f>
        <v>A8</v>
      </c>
      <c r="F129" s="11" t="n">
        <f aca="false">IFERROR(INDEX(Inventory!$H$2:$H$381,MATCH($B129,Inventory!$P$2:$P$381,0)),"")</f>
        <v>1</v>
      </c>
      <c r="G129" s="11" t="n">
        <f aca="false">IFERROR(INDEX(Inventory!$I$2:$I$381,MATCH($B129,Inventory!$P$2:$P$381,0)),"")</f>
        <v>2</v>
      </c>
      <c r="H129" s="19" t="n">
        <f aca="false">IF($C129="","",IF($F129="","count it",MAX(0,$G129-$F129)))</f>
        <v>1</v>
      </c>
      <c r="I129" s="11" t="str">
        <f aca="false">IFERROR(INDEX(Inventory!$J$2:$J$381,MATCH($B129,Inventory!$P$2:$P$381,0)),"")</f>
        <v>Low stock</v>
      </c>
    </row>
    <row r="130" customFormat="false" ht="15" hidden="false" customHeight="false" outlineLevel="0" collapsed="false">
      <c r="B130" s="5" t="n">
        <v>125</v>
      </c>
      <c r="C130" s="10" t="str">
        <f aca="false">IFERROR(INDEX(Inventory!$B$2:$B$381,MATCH($B130,Inventory!$P$2:$P$381,0)),"")</f>
        <v>TSL 2591 X Light Sensor</v>
      </c>
      <c r="D130" s="10" t="str">
        <f aca="false">IFERROR(INDEX(Inventory!$C$2:$C$381,MATCH($B130,Inventory!$P$2:$P$381,0)),"")</f>
        <v>Sensor</v>
      </c>
      <c r="E130" s="18" t="str">
        <f aca="false">IFERROR(INDEX(Inventory!$E$2:$E$381,MATCH($B130,Inventory!$P$2:$P$381,0)),"")</f>
        <v>A8</v>
      </c>
      <c r="F130" s="11" t="n">
        <f aca="false">IFERROR(INDEX(Inventory!$H$2:$H$381,MATCH($B130,Inventory!$P$2:$P$381,0)),"")</f>
        <v>1</v>
      </c>
      <c r="G130" s="11" t="n">
        <f aca="false">IFERROR(INDEX(Inventory!$I$2:$I$381,MATCH($B130,Inventory!$P$2:$P$381,0)),"")</f>
        <v>2</v>
      </c>
      <c r="H130" s="19" t="n">
        <f aca="false">IF($C130="","",IF($F130="","count it",MAX(0,$G130-$F130)))</f>
        <v>1</v>
      </c>
      <c r="I130" s="11" t="str">
        <f aca="false">IFERROR(INDEX(Inventory!$J$2:$J$381,MATCH($B130,Inventory!$P$2:$P$381,0)),"")</f>
        <v>Low stock</v>
      </c>
    </row>
    <row r="131" customFormat="false" ht="15" hidden="false" customHeight="false" outlineLevel="0" collapsed="false">
      <c r="B131" s="5" t="n">
        <v>126</v>
      </c>
      <c r="C131" s="10" t="str">
        <f aca="false">IFERROR(INDEX(Inventory!$B$2:$B$381,MATCH($B131,Inventory!$P$2:$P$381,0)),"")</f>
        <v>HW 611 P 280</v>
      </c>
      <c r="D131" s="10" t="str">
        <f aca="false">IFERROR(INDEX(Inventory!$C$2:$C$381,MATCH($B131,Inventory!$P$2:$P$381,0)),"")</f>
        <v>Sensor</v>
      </c>
      <c r="E131" s="18" t="str">
        <f aca="false">IFERROR(INDEX(Inventory!$E$2:$E$381,MATCH($B131,Inventory!$P$2:$P$381,0)),"")</f>
        <v>A8</v>
      </c>
      <c r="F131" s="11" t="n">
        <f aca="false">IFERROR(INDEX(Inventory!$H$2:$H$381,MATCH($B131,Inventory!$P$2:$P$381,0)),"")</f>
        <v>1</v>
      </c>
      <c r="G131" s="11" t="n">
        <f aca="false">IFERROR(INDEX(Inventory!$I$2:$I$381,MATCH($B131,Inventory!$P$2:$P$381,0)),"")</f>
        <v>2</v>
      </c>
      <c r="H131" s="19" t="n">
        <f aca="false">IF($C131="","",IF($F131="","count it",MAX(0,$G131-$F131)))</f>
        <v>1</v>
      </c>
      <c r="I131" s="11" t="str">
        <f aca="false">IFERROR(INDEX(Inventory!$J$2:$J$381,MATCH($B131,Inventory!$P$2:$P$381,0)),"")</f>
        <v>Low stock</v>
      </c>
    </row>
    <row r="132" customFormat="false" ht="15" hidden="false" customHeight="false" outlineLevel="0" collapsed="false">
      <c r="B132" s="5" t="n">
        <v>127</v>
      </c>
      <c r="C132" s="10" t="str">
        <f aca="false">IFERROR(INDEX(Inventory!$B$2:$B$381,MATCH($B132,Inventory!$P$2:$P$381,0)),"")</f>
        <v>MQ 135</v>
      </c>
      <c r="D132" s="10" t="str">
        <f aca="false">IFERROR(INDEX(Inventory!$C$2:$C$381,MATCH($B132,Inventory!$P$2:$P$381,0)),"")</f>
        <v>Sensor</v>
      </c>
      <c r="E132" s="18" t="str">
        <f aca="false">IFERROR(INDEX(Inventory!$E$2:$E$381,MATCH($B132,Inventory!$P$2:$P$381,0)),"")</f>
        <v>B3</v>
      </c>
      <c r="F132" s="11" t="n">
        <f aca="false">IFERROR(INDEX(Inventory!$H$2:$H$381,MATCH($B132,Inventory!$P$2:$P$381,0)),"")</f>
        <v>1</v>
      </c>
      <c r="G132" s="11" t="n">
        <f aca="false">IFERROR(INDEX(Inventory!$I$2:$I$381,MATCH($B132,Inventory!$P$2:$P$381,0)),"")</f>
        <v>2</v>
      </c>
      <c r="H132" s="19" t="n">
        <f aca="false">IF($C132="","",IF($F132="","count it",MAX(0,$G132-$F132)))</f>
        <v>1</v>
      </c>
      <c r="I132" s="11" t="str">
        <f aca="false">IFERROR(INDEX(Inventory!$J$2:$J$381,MATCH($B132,Inventory!$P$2:$P$381,0)),"")</f>
        <v>Low stock</v>
      </c>
    </row>
    <row r="133" customFormat="false" ht="15" hidden="false" customHeight="false" outlineLevel="0" collapsed="false">
      <c r="B133" s="5" t="n">
        <v>128</v>
      </c>
      <c r="C133" s="10" t="str">
        <f aca="false">IFERROR(INDEX(Inventory!$B$2:$B$381,MATCH($B133,Inventory!$P$2:$P$381,0)),"")</f>
        <v>Raindrop Sensor</v>
      </c>
      <c r="D133" s="10" t="str">
        <f aca="false">IFERROR(INDEX(Inventory!$C$2:$C$381,MATCH($B133,Inventory!$P$2:$P$381,0)),"")</f>
        <v>Sensor</v>
      </c>
      <c r="E133" s="18" t="str">
        <f aca="false">IFERROR(INDEX(Inventory!$E$2:$E$381,MATCH($B133,Inventory!$P$2:$P$381,0)),"")</f>
        <v>MIXED RESISTOR BOX</v>
      </c>
      <c r="F133" s="11" t="n">
        <f aca="false">IFERROR(INDEX(Inventory!$H$2:$H$381,MATCH($B133,Inventory!$P$2:$P$381,0)),"")</f>
        <v>1</v>
      </c>
      <c r="G133" s="11" t="n">
        <f aca="false">IFERROR(INDEX(Inventory!$I$2:$I$381,MATCH($B133,Inventory!$P$2:$P$381,0)),"")</f>
        <v>2</v>
      </c>
      <c r="H133" s="19" t="n">
        <f aca="false">IF($C133="","",IF($F133="","count it",MAX(0,$G133-$F133)))</f>
        <v>1</v>
      </c>
      <c r="I133" s="11" t="str">
        <f aca="false">IFERROR(INDEX(Inventory!$J$2:$J$381,MATCH($B133,Inventory!$P$2:$P$381,0)),"")</f>
        <v>Low stock</v>
      </c>
    </row>
    <row r="134" customFormat="false" ht="15" hidden="false" customHeight="false" outlineLevel="0" collapsed="false">
      <c r="B134" s="5" t="n">
        <v>129</v>
      </c>
      <c r="C134" s="10" t="str">
        <f aca="false">IFERROR(INDEX(Inventory!$B$2:$B$381,MATCH($B134,Inventory!$P$2:$P$381,0)),"")</f>
        <v>LoRa Module E-5</v>
      </c>
      <c r="D134" s="10" t="str">
        <f aca="false">IFERROR(INDEX(Inventory!$C$2:$C$381,MATCH($B134,Inventory!$P$2:$P$381,0)),"")</f>
        <v>Module</v>
      </c>
      <c r="E134" s="18" t="str">
        <f aca="false">IFERROR(INDEX(Inventory!$E$2:$E$381,MATCH($B134,Inventory!$P$2:$P$381,0)),"")</f>
        <v>A8</v>
      </c>
      <c r="F134" s="11" t="n">
        <f aca="false">IFERROR(INDEX(Inventory!$H$2:$H$381,MATCH($B134,Inventory!$P$2:$P$381,0)),"")</f>
        <v>1</v>
      </c>
      <c r="G134" s="11" t="n">
        <f aca="false">IFERROR(INDEX(Inventory!$I$2:$I$381,MATCH($B134,Inventory!$P$2:$P$381,0)),"")</f>
        <v>2</v>
      </c>
      <c r="H134" s="19" t="n">
        <f aca="false">IF($C134="","",IF($F134="","count it",MAX(0,$G134-$F134)))</f>
        <v>1</v>
      </c>
      <c r="I134" s="11" t="str">
        <f aca="false">IFERROR(INDEX(Inventory!$J$2:$J$381,MATCH($B134,Inventory!$P$2:$P$381,0)),"")</f>
        <v>Low stock</v>
      </c>
    </row>
    <row r="135" customFormat="false" ht="15" hidden="false" customHeight="false" outlineLevel="0" collapsed="false">
      <c r="B135" s="5" t="n">
        <v>130</v>
      </c>
      <c r="C135" s="10" t="str">
        <f aca="false">IFERROR(INDEX(Inventory!$B$2:$B$381,MATCH($B135,Inventory!$P$2:$P$381,0)),"")</f>
        <v>Photosensitive Sensor Module</v>
      </c>
      <c r="D135" s="10" t="str">
        <f aca="false">IFERROR(INDEX(Inventory!$C$2:$C$381,MATCH($B135,Inventory!$P$2:$P$381,0)),"")</f>
        <v>Module</v>
      </c>
      <c r="E135" s="18" t="str">
        <f aca="false">IFERROR(INDEX(Inventory!$E$2:$E$381,MATCH($B135,Inventory!$P$2:$P$381,0)),"")</f>
        <v>A8</v>
      </c>
      <c r="F135" s="11" t="n">
        <f aca="false">IFERROR(INDEX(Inventory!$H$2:$H$381,MATCH($B135,Inventory!$P$2:$P$381,0)),"")</f>
        <v>1</v>
      </c>
      <c r="G135" s="11" t="n">
        <f aca="false">IFERROR(INDEX(Inventory!$I$2:$I$381,MATCH($B135,Inventory!$P$2:$P$381,0)),"")</f>
        <v>2</v>
      </c>
      <c r="H135" s="19" t="n">
        <f aca="false">IF($C135="","",IF($F135="","count it",MAX(0,$G135-$F135)))</f>
        <v>1</v>
      </c>
      <c r="I135" s="11" t="str">
        <f aca="false">IFERROR(INDEX(Inventory!$J$2:$J$381,MATCH($B135,Inventory!$P$2:$P$381,0)),"")</f>
        <v>Low stock</v>
      </c>
    </row>
    <row r="136" customFormat="false" ht="15" hidden="false" customHeight="false" outlineLevel="0" collapsed="false">
      <c r="B136" s="5" t="n">
        <v>131</v>
      </c>
      <c r="C136" s="10" t="str">
        <f aca="false">IFERROR(INDEX(Inventory!$B$2:$B$381,MATCH($B136,Inventory!$P$2:$P$381,0)),"")</f>
        <v>ACS721 Current Sensor Module</v>
      </c>
      <c r="D136" s="10" t="str">
        <f aca="false">IFERROR(INDEX(Inventory!$C$2:$C$381,MATCH($B136,Inventory!$P$2:$P$381,0)),"")</f>
        <v>Module</v>
      </c>
      <c r="E136" s="18" t="str">
        <f aca="false">IFERROR(INDEX(Inventory!$E$2:$E$381,MATCH($B136,Inventory!$P$2:$P$381,0)),"")</f>
        <v>A8</v>
      </c>
      <c r="F136" s="11" t="n">
        <f aca="false">IFERROR(INDEX(Inventory!$H$2:$H$381,MATCH($B136,Inventory!$P$2:$P$381,0)),"")</f>
        <v>1</v>
      </c>
      <c r="G136" s="11" t="n">
        <f aca="false">IFERROR(INDEX(Inventory!$I$2:$I$381,MATCH($B136,Inventory!$P$2:$P$381,0)),"")</f>
        <v>2</v>
      </c>
      <c r="H136" s="19" t="n">
        <f aca="false">IF($C136="","",IF($F136="","count it",MAX(0,$G136-$F136)))</f>
        <v>1</v>
      </c>
      <c r="I136" s="11" t="str">
        <f aca="false">IFERROR(INDEX(Inventory!$J$2:$J$381,MATCH($B136,Inventory!$P$2:$P$381,0)),"")</f>
        <v>Low stock</v>
      </c>
    </row>
    <row r="137" customFormat="false" ht="15" hidden="false" customHeight="false" outlineLevel="0" collapsed="false">
      <c r="B137" s="5" t="n">
        <v>132</v>
      </c>
      <c r="C137" s="10" t="str">
        <f aca="false">IFERROR(INDEX(Inventory!$B$2:$B$381,MATCH($B137,Inventory!$P$2:$P$381,0)),"")</f>
        <v>DTH 11</v>
      </c>
      <c r="D137" s="10" t="str">
        <f aca="false">IFERROR(INDEX(Inventory!$C$2:$C$381,MATCH($B137,Inventory!$P$2:$P$381,0)),"")</f>
        <v>Sensor</v>
      </c>
      <c r="E137" s="18" t="str">
        <f aca="false">IFERROR(INDEX(Inventory!$E$2:$E$381,MATCH($B137,Inventory!$P$2:$P$381,0)),"")</f>
        <v>A8</v>
      </c>
      <c r="F137" s="11" t="n">
        <f aca="false">IFERROR(INDEX(Inventory!$H$2:$H$381,MATCH($B137,Inventory!$P$2:$P$381,0)),"")</f>
        <v>1</v>
      </c>
      <c r="G137" s="11" t="n">
        <f aca="false">IFERROR(INDEX(Inventory!$I$2:$I$381,MATCH($B137,Inventory!$P$2:$P$381,0)),"")</f>
        <v>2</v>
      </c>
      <c r="H137" s="19" t="n">
        <f aca="false">IF($C137="","",IF($F137="","count it",MAX(0,$G137-$F137)))</f>
        <v>1</v>
      </c>
      <c r="I137" s="11" t="str">
        <f aca="false">IFERROR(INDEX(Inventory!$J$2:$J$381,MATCH($B137,Inventory!$P$2:$P$381,0)),"")</f>
        <v>Low stock</v>
      </c>
    </row>
    <row r="138" customFormat="false" ht="15" hidden="false" customHeight="false" outlineLevel="0" collapsed="false">
      <c r="B138" s="5" t="n">
        <v>133</v>
      </c>
      <c r="C138" s="10" t="str">
        <f aca="false">IFERROR(INDEX(Inventory!$B$2:$B$381,MATCH($B138,Inventory!$P$2:$P$381,0)),"")</f>
        <v>DTH 22</v>
      </c>
      <c r="D138" s="10" t="str">
        <f aca="false">IFERROR(INDEX(Inventory!$C$2:$C$381,MATCH($B138,Inventory!$P$2:$P$381,0)),"")</f>
        <v>Sensor</v>
      </c>
      <c r="E138" s="18" t="str">
        <f aca="false">IFERROR(INDEX(Inventory!$E$2:$E$381,MATCH($B138,Inventory!$P$2:$P$381,0)),"")</f>
        <v>A8</v>
      </c>
      <c r="F138" s="11" t="n">
        <f aca="false">IFERROR(INDEX(Inventory!$H$2:$H$381,MATCH($B138,Inventory!$P$2:$P$381,0)),"")</f>
        <v>1</v>
      </c>
      <c r="G138" s="11" t="n">
        <f aca="false">IFERROR(INDEX(Inventory!$I$2:$I$381,MATCH($B138,Inventory!$P$2:$P$381,0)),"")</f>
        <v>2</v>
      </c>
      <c r="H138" s="19" t="n">
        <f aca="false">IF($C138="","",IF($F138="","count it",MAX(0,$G138-$F138)))</f>
        <v>1</v>
      </c>
      <c r="I138" s="11" t="str">
        <f aca="false">IFERROR(INDEX(Inventory!$J$2:$J$381,MATCH($B138,Inventory!$P$2:$P$381,0)),"")</f>
        <v>Low stock</v>
      </c>
    </row>
    <row r="139" customFormat="false" ht="15" hidden="false" customHeight="false" outlineLevel="0" collapsed="false">
      <c r="B139" s="5" t="n">
        <v>134</v>
      </c>
      <c r="C139" s="10" t="str">
        <f aca="false">IFERROR(INDEX(Inventory!$B$2:$B$381,MATCH($B139,Inventory!$P$2:$P$381,0)),"")</f>
        <v>XH- M601 12v battery chaeging Control board</v>
      </c>
      <c r="D139" s="10" t="str">
        <f aca="false">IFERROR(INDEX(Inventory!$C$2:$C$381,MATCH($B139,Inventory!$P$2:$P$381,0)),"")</f>
        <v>Module</v>
      </c>
      <c r="E139" s="18" t="str">
        <f aca="false">IFERROR(INDEX(Inventory!$E$2:$E$381,MATCH($B139,Inventory!$P$2:$P$381,0)),"")</f>
        <v>A8</v>
      </c>
      <c r="F139" s="11" t="n">
        <f aca="false">IFERROR(INDEX(Inventory!$H$2:$H$381,MATCH($B139,Inventory!$P$2:$P$381,0)),"")</f>
        <v>1</v>
      </c>
      <c r="G139" s="11" t="n">
        <f aca="false">IFERROR(INDEX(Inventory!$I$2:$I$381,MATCH($B139,Inventory!$P$2:$P$381,0)),"")</f>
        <v>2</v>
      </c>
      <c r="H139" s="19" t="n">
        <f aca="false">IF($C139="","",IF($F139="","count it",MAX(0,$G139-$F139)))</f>
        <v>1</v>
      </c>
      <c r="I139" s="11" t="str">
        <f aca="false">IFERROR(INDEX(Inventory!$J$2:$J$381,MATCH($B139,Inventory!$P$2:$P$381,0)),"")</f>
        <v>Low stock</v>
      </c>
    </row>
    <row r="140" customFormat="false" ht="15" hidden="false" customHeight="false" outlineLevel="0" collapsed="false">
      <c r="B140" s="5" t="n">
        <v>135</v>
      </c>
      <c r="C140" s="10" t="str">
        <f aca="false">IFERROR(INDEX(Inventory!$B$2:$B$381,MATCH($B140,Inventory!$P$2:$P$381,0)),"")</f>
        <v>KY -039 Finger Heartbeat sensor</v>
      </c>
      <c r="D140" s="10" t="str">
        <f aca="false">IFERROR(INDEX(Inventory!$C$2:$C$381,MATCH($B140,Inventory!$P$2:$P$381,0)),"")</f>
        <v>Sensor</v>
      </c>
      <c r="E140" s="18" t="str">
        <f aca="false">IFERROR(INDEX(Inventory!$E$2:$E$381,MATCH($B140,Inventory!$P$2:$P$381,0)),"")</f>
        <v>A8</v>
      </c>
      <c r="F140" s="11" t="n">
        <f aca="false">IFERROR(INDEX(Inventory!$H$2:$H$381,MATCH($B140,Inventory!$P$2:$P$381,0)),"")</f>
        <v>1</v>
      </c>
      <c r="G140" s="11" t="n">
        <f aca="false">IFERROR(INDEX(Inventory!$I$2:$I$381,MATCH($B140,Inventory!$P$2:$P$381,0)),"")</f>
        <v>2</v>
      </c>
      <c r="H140" s="19" t="n">
        <f aca="false">IF($C140="","",IF($F140="","count it",MAX(0,$G140-$F140)))</f>
        <v>1</v>
      </c>
      <c r="I140" s="11" t="str">
        <f aca="false">IFERROR(INDEX(Inventory!$J$2:$J$381,MATCH($B140,Inventory!$P$2:$P$381,0)),"")</f>
        <v>Low stock</v>
      </c>
    </row>
    <row r="141" customFormat="false" ht="15" hidden="false" customHeight="false" outlineLevel="0" collapsed="false">
      <c r="B141" s="5" t="n">
        <v>136</v>
      </c>
      <c r="C141" s="10" t="str">
        <f aca="false">IFERROR(INDEX(Inventory!$B$2:$B$381,MATCH($B141,Inventory!$P$2:$P$381,0)),"")</f>
        <v>JSN-SR4T</v>
      </c>
      <c r="D141" s="10" t="str">
        <f aca="false">IFERROR(INDEX(Inventory!$C$2:$C$381,MATCH($B141,Inventory!$P$2:$P$381,0)),"")</f>
        <v>Sensor</v>
      </c>
      <c r="E141" s="18" t="str">
        <f aca="false">IFERROR(INDEX(Inventory!$E$2:$E$381,MATCH($B141,Inventory!$P$2:$P$381,0)),"")</f>
        <v>A9</v>
      </c>
      <c r="F141" s="11" t="n">
        <f aca="false">IFERROR(INDEX(Inventory!$H$2:$H$381,MATCH($B141,Inventory!$P$2:$P$381,0)),"")</f>
        <v>1</v>
      </c>
      <c r="G141" s="11" t="n">
        <f aca="false">IFERROR(INDEX(Inventory!$I$2:$I$381,MATCH($B141,Inventory!$P$2:$P$381,0)),"")</f>
        <v>2</v>
      </c>
      <c r="H141" s="19" t="n">
        <f aca="false">IF($C141="","",IF($F141="","count it",MAX(0,$G141-$F141)))</f>
        <v>1</v>
      </c>
      <c r="I141" s="11" t="str">
        <f aca="false">IFERROR(INDEX(Inventory!$J$2:$J$381,MATCH($B141,Inventory!$P$2:$P$381,0)),"")</f>
        <v>Low stock</v>
      </c>
    </row>
    <row r="142" customFormat="false" ht="15" hidden="false" customHeight="false" outlineLevel="0" collapsed="false">
      <c r="B142" s="5" t="n">
        <v>137</v>
      </c>
      <c r="C142" s="10" t="str">
        <f aca="false">IFERROR(INDEX(Inventory!$B$2:$B$381,MATCH($B142,Inventory!$P$2:$P$381,0)),"")</f>
        <v>DS1307 Real Time clock Module</v>
      </c>
      <c r="D142" s="10" t="str">
        <f aca="false">IFERROR(INDEX(Inventory!$C$2:$C$381,MATCH($B142,Inventory!$P$2:$P$381,0)),"")</f>
        <v>Module</v>
      </c>
      <c r="E142" s="18" t="str">
        <f aca="false">IFERROR(INDEX(Inventory!$E$2:$E$381,MATCH($B142,Inventory!$P$2:$P$381,0)),"")</f>
        <v>A9</v>
      </c>
      <c r="F142" s="11" t="n">
        <f aca="false">IFERROR(INDEX(Inventory!$H$2:$H$381,MATCH($B142,Inventory!$P$2:$P$381,0)),"")</f>
        <v>1</v>
      </c>
      <c r="G142" s="11" t="n">
        <f aca="false">IFERROR(INDEX(Inventory!$I$2:$I$381,MATCH($B142,Inventory!$P$2:$P$381,0)),"")</f>
        <v>2</v>
      </c>
      <c r="H142" s="19" t="n">
        <f aca="false">IF($C142="","",IF($F142="","count it",MAX(0,$G142-$F142)))</f>
        <v>1</v>
      </c>
      <c r="I142" s="11" t="str">
        <f aca="false">IFERROR(INDEX(Inventory!$J$2:$J$381,MATCH($B142,Inventory!$P$2:$P$381,0)),"")</f>
        <v>Low stock</v>
      </c>
    </row>
    <row r="143" customFormat="false" ht="15" hidden="false" customHeight="false" outlineLevel="0" collapsed="false">
      <c r="B143" s="5" t="n">
        <v>138</v>
      </c>
      <c r="C143" s="10" t="str">
        <f aca="false">IFERROR(INDEX(Inventory!$B$2:$B$381,MATCH($B143,Inventory!$P$2:$P$381,0)),"")</f>
        <v>DS3231 AT24c32 IIC Real time clock Module</v>
      </c>
      <c r="D143" s="10" t="str">
        <f aca="false">IFERROR(INDEX(Inventory!$C$2:$C$381,MATCH($B143,Inventory!$P$2:$P$381,0)),"")</f>
        <v>Module</v>
      </c>
      <c r="E143" s="18" t="str">
        <f aca="false">IFERROR(INDEX(Inventory!$E$2:$E$381,MATCH($B143,Inventory!$P$2:$P$381,0)),"")</f>
        <v>A9</v>
      </c>
      <c r="F143" s="11" t="n">
        <f aca="false">IFERROR(INDEX(Inventory!$H$2:$H$381,MATCH($B143,Inventory!$P$2:$P$381,0)),"")</f>
        <v>1</v>
      </c>
      <c r="G143" s="11" t="n">
        <f aca="false">IFERROR(INDEX(Inventory!$I$2:$I$381,MATCH($B143,Inventory!$P$2:$P$381,0)),"")</f>
        <v>2</v>
      </c>
      <c r="H143" s="19" t="n">
        <f aca="false">IF($C143="","",IF($F143="","count it",MAX(0,$G143-$F143)))</f>
        <v>1</v>
      </c>
      <c r="I143" s="11" t="str">
        <f aca="false">IFERROR(INDEX(Inventory!$J$2:$J$381,MATCH($B143,Inventory!$P$2:$P$381,0)),"")</f>
        <v>Low stock</v>
      </c>
    </row>
    <row r="144" customFormat="false" ht="15" hidden="false" customHeight="false" outlineLevel="0" collapsed="false">
      <c r="B144" s="5" t="n">
        <v>139</v>
      </c>
      <c r="C144" s="10" t="str">
        <f aca="false">IFERROR(INDEX(Inventory!$B$2:$B$381,MATCH($B144,Inventory!$P$2:$P$381,0)),"")</f>
        <v>ADS 1115 ADC module</v>
      </c>
      <c r="D144" s="10" t="str">
        <f aca="false">IFERROR(INDEX(Inventory!$C$2:$C$381,MATCH($B144,Inventory!$P$2:$P$381,0)),"")</f>
        <v>Module</v>
      </c>
      <c r="E144" s="18" t="str">
        <f aca="false">IFERROR(INDEX(Inventory!$E$2:$E$381,MATCH($B144,Inventory!$P$2:$P$381,0)),"")</f>
        <v>A9</v>
      </c>
      <c r="F144" s="11" t="n">
        <f aca="false">IFERROR(INDEX(Inventory!$H$2:$H$381,MATCH($B144,Inventory!$P$2:$P$381,0)),"")</f>
        <v>1</v>
      </c>
      <c r="G144" s="11" t="n">
        <f aca="false">IFERROR(INDEX(Inventory!$I$2:$I$381,MATCH($B144,Inventory!$P$2:$P$381,0)),"")</f>
        <v>2</v>
      </c>
      <c r="H144" s="19" t="n">
        <f aca="false">IF($C144="","",IF($F144="","count it",MAX(0,$G144-$F144)))</f>
        <v>1</v>
      </c>
      <c r="I144" s="11" t="str">
        <f aca="false">IFERROR(INDEX(Inventory!$J$2:$J$381,MATCH($B144,Inventory!$P$2:$P$381,0)),"")</f>
        <v>Low stock</v>
      </c>
    </row>
    <row r="145" customFormat="false" ht="15" hidden="false" customHeight="false" outlineLevel="0" collapsed="false">
      <c r="B145" s="5" t="n">
        <v>140</v>
      </c>
      <c r="C145" s="10" t="str">
        <f aca="false">IFERROR(INDEX(Inventory!$B$2:$B$381,MATCH($B145,Inventory!$P$2:$P$381,0)),"")</f>
        <v>RF Module</v>
      </c>
      <c r="D145" s="10" t="str">
        <f aca="false">IFERROR(INDEX(Inventory!$C$2:$C$381,MATCH($B145,Inventory!$P$2:$P$381,0)),"")</f>
        <v>Module</v>
      </c>
      <c r="E145" s="18" t="str">
        <f aca="false">IFERROR(INDEX(Inventory!$E$2:$E$381,MATCH($B145,Inventory!$P$2:$P$381,0)),"")</f>
        <v>A9</v>
      </c>
      <c r="F145" s="11" t="n">
        <f aca="false">IFERROR(INDEX(Inventory!$H$2:$H$381,MATCH($B145,Inventory!$P$2:$P$381,0)),"")</f>
        <v>1</v>
      </c>
      <c r="G145" s="11" t="n">
        <f aca="false">IFERROR(INDEX(Inventory!$I$2:$I$381,MATCH($B145,Inventory!$P$2:$P$381,0)),"")</f>
        <v>2</v>
      </c>
      <c r="H145" s="19" t="n">
        <f aca="false">IF($C145="","",IF($F145="","count it",MAX(0,$G145-$F145)))</f>
        <v>1</v>
      </c>
      <c r="I145" s="11" t="str">
        <f aca="false">IFERROR(INDEX(Inventory!$J$2:$J$381,MATCH($B145,Inventory!$P$2:$P$381,0)),"")</f>
        <v>Low stock</v>
      </c>
    </row>
    <row r="146" customFormat="false" ht="15" hidden="false" customHeight="false" outlineLevel="0" collapsed="false">
      <c r="B146" s="5" t="n">
        <v>141</v>
      </c>
      <c r="C146" s="10" t="str">
        <f aca="false">IFERROR(INDEX(Inventory!$B$2:$B$381,MATCH($B146,Inventory!$P$2:$P$381,0)),"")</f>
        <v>Core 51822 BLE 4.0 Bluetooth Wireless Module</v>
      </c>
      <c r="D146" s="10" t="str">
        <f aca="false">IFERROR(INDEX(Inventory!$C$2:$C$381,MATCH($B146,Inventory!$P$2:$P$381,0)),"")</f>
        <v>Module</v>
      </c>
      <c r="E146" s="18" t="str">
        <f aca="false">IFERROR(INDEX(Inventory!$E$2:$E$381,MATCH($B146,Inventory!$P$2:$P$381,0)),"")</f>
        <v>A9</v>
      </c>
      <c r="F146" s="11" t="n">
        <f aca="false">IFERROR(INDEX(Inventory!$H$2:$H$381,MATCH($B146,Inventory!$P$2:$P$381,0)),"")</f>
        <v>1</v>
      </c>
      <c r="G146" s="11" t="n">
        <f aca="false">IFERROR(INDEX(Inventory!$I$2:$I$381,MATCH($B146,Inventory!$P$2:$P$381,0)),"")</f>
        <v>2</v>
      </c>
      <c r="H146" s="19" t="n">
        <f aca="false">IF($C146="","",IF($F146="","count it",MAX(0,$G146-$F146)))</f>
        <v>1</v>
      </c>
      <c r="I146" s="11" t="str">
        <f aca="false">IFERROR(INDEX(Inventory!$J$2:$J$381,MATCH($B146,Inventory!$P$2:$P$381,0)),"")</f>
        <v>Low stock</v>
      </c>
    </row>
    <row r="147" customFormat="false" ht="15" hidden="false" customHeight="false" outlineLevel="0" collapsed="false">
      <c r="B147" s="5" t="n">
        <v>142</v>
      </c>
      <c r="C147" s="10" t="str">
        <f aca="false">IFERROR(INDEX(Inventory!$B$2:$B$381,MATCH($B147,Inventory!$P$2:$P$381,0)),"")</f>
        <v>Active Soil Moustire Sensor</v>
      </c>
      <c r="D147" s="10" t="str">
        <f aca="false">IFERROR(INDEX(Inventory!$C$2:$C$381,MATCH($B147,Inventory!$P$2:$P$381,0)),"")</f>
        <v>Sensor</v>
      </c>
      <c r="E147" s="18" t="str">
        <f aca="false">IFERROR(INDEX(Inventory!$E$2:$E$381,MATCH($B147,Inventory!$P$2:$P$381,0)),"")</f>
        <v>A9</v>
      </c>
      <c r="F147" s="11" t="n">
        <f aca="false">IFERROR(INDEX(Inventory!$H$2:$H$381,MATCH($B147,Inventory!$P$2:$P$381,0)),"")</f>
        <v>1</v>
      </c>
      <c r="G147" s="11" t="n">
        <f aca="false">IFERROR(INDEX(Inventory!$I$2:$I$381,MATCH($B147,Inventory!$P$2:$P$381,0)),"")</f>
        <v>2</v>
      </c>
      <c r="H147" s="19" t="n">
        <f aca="false">IF($C147="","",IF($F147="","count it",MAX(0,$G147-$F147)))</f>
        <v>1</v>
      </c>
      <c r="I147" s="11" t="str">
        <f aca="false">IFERROR(INDEX(Inventory!$J$2:$J$381,MATCH($B147,Inventory!$P$2:$P$381,0)),"")</f>
        <v>Low stock</v>
      </c>
    </row>
    <row r="148" customFormat="false" ht="15" hidden="false" customHeight="false" outlineLevel="0" collapsed="false">
      <c r="B148" s="5" t="n">
        <v>143</v>
      </c>
      <c r="C148" s="10" t="str">
        <f aca="false">IFERROR(INDEX(Inventory!$B$2:$B$381,MATCH($B148,Inventory!$P$2:$P$381,0)),"")</f>
        <v>Passive Soil Moisture Sensor</v>
      </c>
      <c r="D148" s="10" t="str">
        <f aca="false">IFERROR(INDEX(Inventory!$C$2:$C$381,MATCH($B148,Inventory!$P$2:$P$381,0)),"")</f>
        <v>Sensor</v>
      </c>
      <c r="E148" s="18" t="str">
        <f aca="false">IFERROR(INDEX(Inventory!$E$2:$E$381,MATCH($B148,Inventory!$P$2:$P$381,0)),"")</f>
        <v>A9</v>
      </c>
      <c r="F148" s="11" t="n">
        <f aca="false">IFERROR(INDEX(Inventory!$H$2:$H$381,MATCH($B148,Inventory!$P$2:$P$381,0)),"")</f>
        <v>1</v>
      </c>
      <c r="G148" s="11" t="n">
        <f aca="false">IFERROR(INDEX(Inventory!$I$2:$I$381,MATCH($B148,Inventory!$P$2:$P$381,0)),"")</f>
        <v>2</v>
      </c>
      <c r="H148" s="19" t="n">
        <f aca="false">IF($C148="","",IF($F148="","count it",MAX(0,$G148-$F148)))</f>
        <v>1</v>
      </c>
      <c r="I148" s="11" t="str">
        <f aca="false">IFERROR(INDEX(Inventory!$J$2:$J$381,MATCH($B148,Inventory!$P$2:$P$381,0)),"")</f>
        <v>Low stock</v>
      </c>
    </row>
    <row r="149" customFormat="false" ht="15" hidden="false" customHeight="false" outlineLevel="0" collapsed="false">
      <c r="B149" s="5" t="n">
        <v>144</v>
      </c>
      <c r="C149" s="10" t="str">
        <f aca="false">IFERROR(INDEX(Inventory!$B$2:$B$381,MATCH($B149,Inventory!$P$2:$P$381,0)),"")</f>
        <v>RElay iot board board Esp 8266</v>
      </c>
      <c r="D149" s="10" t="str">
        <f aca="false">IFERROR(INDEX(Inventory!$C$2:$C$381,MATCH($B149,Inventory!$P$2:$P$381,0)),"")</f>
        <v>Module</v>
      </c>
      <c r="E149" s="18" t="str">
        <f aca="false">IFERROR(INDEX(Inventory!$E$2:$E$381,MATCH($B149,Inventory!$P$2:$P$381,0)),"")</f>
        <v>A9</v>
      </c>
      <c r="F149" s="11" t="n">
        <f aca="false">IFERROR(INDEX(Inventory!$H$2:$H$381,MATCH($B149,Inventory!$P$2:$P$381,0)),"")</f>
        <v>1</v>
      </c>
      <c r="G149" s="11" t="n">
        <f aca="false">IFERROR(INDEX(Inventory!$I$2:$I$381,MATCH($B149,Inventory!$P$2:$P$381,0)),"")</f>
        <v>2</v>
      </c>
      <c r="H149" s="19" t="n">
        <f aca="false">IF($C149="","",IF($F149="","count it",MAX(0,$G149-$F149)))</f>
        <v>1</v>
      </c>
      <c r="I149" s="11" t="str">
        <f aca="false">IFERROR(INDEX(Inventory!$J$2:$J$381,MATCH($B149,Inventory!$P$2:$P$381,0)),"")</f>
        <v>Low stock</v>
      </c>
    </row>
    <row r="150" customFormat="false" ht="15" hidden="false" customHeight="false" outlineLevel="0" collapsed="false">
      <c r="B150" s="5" t="n">
        <v>145</v>
      </c>
      <c r="C150" s="10" t="str">
        <f aca="false">IFERROR(INDEX(Inventory!$B$2:$B$381,MATCH($B150,Inventory!$P$2:$P$381,0)),"")</f>
        <v>ULN2003 Stepper Motor Driver</v>
      </c>
      <c r="D150" s="10" t="str">
        <f aca="false">IFERROR(INDEX(Inventory!$C$2:$C$381,MATCH($B150,Inventory!$P$2:$P$381,0)),"")</f>
        <v>Module</v>
      </c>
      <c r="E150" s="18" t="str">
        <f aca="false">IFERROR(INDEX(Inventory!$E$2:$E$381,MATCH($B150,Inventory!$P$2:$P$381,0)),"")</f>
        <v>A9</v>
      </c>
      <c r="F150" s="11" t="n">
        <f aca="false">IFERROR(INDEX(Inventory!$H$2:$H$381,MATCH($B150,Inventory!$P$2:$P$381,0)),"")</f>
        <v>1</v>
      </c>
      <c r="G150" s="11" t="n">
        <f aca="false">IFERROR(INDEX(Inventory!$I$2:$I$381,MATCH($B150,Inventory!$P$2:$P$381,0)),"")</f>
        <v>2</v>
      </c>
      <c r="H150" s="19" t="n">
        <f aca="false">IF($C150="","",IF($F150="","count it",MAX(0,$G150-$F150)))</f>
        <v>1</v>
      </c>
      <c r="I150" s="11" t="str">
        <f aca="false">IFERROR(INDEX(Inventory!$J$2:$J$381,MATCH($B150,Inventory!$P$2:$P$381,0)),"")</f>
        <v>Low stock</v>
      </c>
    </row>
    <row r="151" customFormat="false" ht="15" hidden="false" customHeight="false" outlineLevel="0" collapsed="false">
      <c r="B151" s="5" t="n">
        <v>146</v>
      </c>
      <c r="C151" s="10" t="str">
        <f aca="false">IFERROR(INDEX(Inventory!$B$2:$B$381,MATCH($B151,Inventory!$P$2:$P$381,0)),"")</f>
        <v>AS 608 Fingerprint Sensor</v>
      </c>
      <c r="D151" s="10" t="str">
        <f aca="false">IFERROR(INDEX(Inventory!$C$2:$C$381,MATCH($B151,Inventory!$P$2:$P$381,0)),"")</f>
        <v>Sensor</v>
      </c>
      <c r="E151" s="18" t="str">
        <f aca="false">IFERROR(INDEX(Inventory!$E$2:$E$381,MATCH($B151,Inventory!$P$2:$P$381,0)),"")</f>
        <v>A9</v>
      </c>
      <c r="F151" s="11" t="n">
        <f aca="false">IFERROR(INDEX(Inventory!$H$2:$H$381,MATCH($B151,Inventory!$P$2:$P$381,0)),"")</f>
        <v>1</v>
      </c>
      <c r="G151" s="11" t="n">
        <f aca="false">IFERROR(INDEX(Inventory!$I$2:$I$381,MATCH($B151,Inventory!$P$2:$P$381,0)),"")</f>
        <v>2</v>
      </c>
      <c r="H151" s="19" t="n">
        <f aca="false">IF($C151="","",IF($F151="","count it",MAX(0,$G151-$F151)))</f>
        <v>1</v>
      </c>
      <c r="I151" s="11" t="str">
        <f aca="false">IFERROR(INDEX(Inventory!$J$2:$J$381,MATCH($B151,Inventory!$P$2:$P$381,0)),"")</f>
        <v>Low stock</v>
      </c>
    </row>
    <row r="152" customFormat="false" ht="15" hidden="false" customHeight="false" outlineLevel="0" collapsed="false">
      <c r="B152" s="5" t="n">
        <v>147</v>
      </c>
      <c r="C152" s="10" t="str">
        <f aca="false">IFERROR(INDEX(Inventory!$B$2:$B$381,MATCH($B152,Inventory!$P$2:$P$381,0)),"")</f>
        <v>CCTV Audio Mic</v>
      </c>
      <c r="D152" s="10" t="str">
        <f aca="false">IFERROR(INDEX(Inventory!$C$2:$C$381,MATCH($B152,Inventory!$P$2:$P$381,0)),"")</f>
        <v>Microphone</v>
      </c>
      <c r="E152" s="18" t="str">
        <f aca="false">IFERROR(INDEX(Inventory!$E$2:$E$381,MATCH($B152,Inventory!$P$2:$P$381,0)),"")</f>
        <v>A9</v>
      </c>
      <c r="F152" s="11" t="n">
        <f aca="false">IFERROR(INDEX(Inventory!$H$2:$H$381,MATCH($B152,Inventory!$P$2:$P$381,0)),"")</f>
        <v>1</v>
      </c>
      <c r="G152" s="11" t="n">
        <f aca="false">IFERROR(INDEX(Inventory!$I$2:$I$381,MATCH($B152,Inventory!$P$2:$P$381,0)),"")</f>
        <v>2</v>
      </c>
      <c r="H152" s="19" t="n">
        <f aca="false">IF($C152="","",IF($F152="","count it",MAX(0,$G152-$F152)))</f>
        <v>1</v>
      </c>
      <c r="I152" s="11" t="str">
        <f aca="false">IFERROR(INDEX(Inventory!$J$2:$J$381,MATCH($B152,Inventory!$P$2:$P$381,0)),"")</f>
        <v>Low stock</v>
      </c>
    </row>
    <row r="153" customFormat="false" ht="15" hidden="false" customHeight="false" outlineLevel="0" collapsed="false">
      <c r="B153" s="5" t="n">
        <v>148</v>
      </c>
      <c r="C153" s="10" t="str">
        <f aca="false">IFERROR(INDEX(Inventory!$B$2:$B$381,MATCH($B153,Inventory!$P$2:$P$381,0)),"")</f>
        <v>SD Card 64GB</v>
      </c>
      <c r="D153" s="10" t="str">
        <f aca="false">IFERROR(INDEX(Inventory!$C$2:$C$381,MATCH($B153,Inventory!$P$2:$P$381,0)),"")</f>
        <v>Memory</v>
      </c>
      <c r="E153" s="18" t="str">
        <f aca="false">IFERROR(INDEX(Inventory!$E$2:$E$381,MATCH($B153,Inventory!$P$2:$P$381,0)),"")</f>
        <v>UNASSIGNED</v>
      </c>
      <c r="F153" s="11" t="n">
        <f aca="false">IFERROR(INDEX(Inventory!$H$2:$H$381,MATCH($B153,Inventory!$P$2:$P$381,0)),"")</f>
        <v>0</v>
      </c>
      <c r="G153" s="11" t="n">
        <f aca="false">IFERROR(INDEX(Inventory!$I$2:$I$381,MATCH($B153,Inventory!$P$2:$P$381,0)),"")</f>
        <v>1</v>
      </c>
      <c r="H153" s="19" t="n">
        <f aca="false">IF($C153="","",IF($F153="","count it",MAX(0,$G153-$F153)))</f>
        <v>1</v>
      </c>
      <c r="I153" s="11" t="str">
        <f aca="false">IFERROR(INDEX(Inventory!$J$2:$J$381,MATCH($B153,Inventory!$P$2:$P$381,0)),"")</f>
        <v>Out of stock</v>
      </c>
    </row>
    <row r="154" customFormat="false" ht="15" hidden="false" customHeight="false" outlineLevel="0" collapsed="false">
      <c r="B154" s="5" t="n">
        <v>149</v>
      </c>
      <c r="C154" s="10" t="str">
        <f aca="false">IFERROR(INDEX(Inventory!$B$2:$B$381,MATCH($B154,Inventory!$P$2:$P$381,0)),"")</f>
        <v>WLY 853837 3.7V 1250mAh Lethiuem Battery</v>
      </c>
      <c r="D154" s="10" t="str">
        <f aca="false">IFERROR(INDEX(Inventory!$C$2:$C$381,MATCH($B154,Inventory!$P$2:$P$381,0)),"")</f>
        <v>Battery</v>
      </c>
      <c r="E154" s="18" t="str">
        <f aca="false">IFERROR(INDEX(Inventory!$E$2:$E$381,MATCH($B154,Inventory!$P$2:$P$381,0)),"")</f>
        <v>SMD BOX</v>
      </c>
      <c r="F154" s="11" t="n">
        <f aca="false">IFERROR(INDEX(Inventory!$H$2:$H$381,MATCH($B154,Inventory!$P$2:$P$381,0)),"")</f>
        <v>1</v>
      </c>
      <c r="G154" s="11" t="n">
        <f aca="false">IFERROR(INDEX(Inventory!$I$2:$I$381,MATCH($B154,Inventory!$P$2:$P$381,0)),"")</f>
        <v>2</v>
      </c>
      <c r="H154" s="19" t="n">
        <f aca="false">IF($C154="","",IF($F154="","count it",MAX(0,$G154-$F154)))</f>
        <v>1</v>
      </c>
      <c r="I154" s="11" t="str">
        <f aca="false">IFERROR(INDEX(Inventory!$J$2:$J$381,MATCH($B154,Inventory!$P$2:$P$381,0)),"")</f>
        <v>Low stock</v>
      </c>
    </row>
    <row r="155" customFormat="false" ht="15" hidden="false" customHeight="false" outlineLevel="0" collapsed="false">
      <c r="B155" s="5" t="n">
        <v>150</v>
      </c>
      <c r="C155" s="10" t="str">
        <f aca="false">IFERROR(INDEX(Inventory!$B$2:$B$381,MATCH($B155,Inventory!$P$2:$P$381,0)),"")</f>
        <v>REYEX RYLR998 35/24 Lora Module (Only "Tx")</v>
      </c>
      <c r="D155" s="10" t="str">
        <f aca="false">IFERROR(INDEX(Inventory!$C$2:$C$381,MATCH($B155,Inventory!$P$2:$P$381,0)),"")</f>
        <v>Module</v>
      </c>
      <c r="E155" s="18" t="str">
        <f aca="false">IFERROR(INDEX(Inventory!$E$2:$E$381,MATCH($B155,Inventory!$P$2:$P$381,0)),"")</f>
        <v>SMD BOX</v>
      </c>
      <c r="F155" s="11" t="n">
        <f aca="false">IFERROR(INDEX(Inventory!$H$2:$H$381,MATCH($B155,Inventory!$P$2:$P$381,0)),"")</f>
        <v>1</v>
      </c>
      <c r="G155" s="11" t="n">
        <f aca="false">IFERROR(INDEX(Inventory!$I$2:$I$381,MATCH($B155,Inventory!$P$2:$P$381,0)),"")</f>
        <v>2</v>
      </c>
      <c r="H155" s="19" t="n">
        <f aca="false">IF($C155="","",IF($F155="","count it",MAX(0,$G155-$F155)))</f>
        <v>1</v>
      </c>
      <c r="I155" s="11" t="str">
        <f aca="false">IFERROR(INDEX(Inventory!$J$2:$J$381,MATCH($B155,Inventory!$P$2:$P$381,0)),"")</f>
        <v>Low stock</v>
      </c>
    </row>
    <row r="156" customFormat="false" ht="15" hidden="false" customHeight="false" outlineLevel="0" collapsed="false">
      <c r="B156" s="5" t="n">
        <v>151</v>
      </c>
      <c r="C156" s="10" t="str">
        <f aca="false">IFERROR(INDEX(Inventory!$B$2:$B$381,MATCH($B156,Inventory!$P$2:$P$381,0)),"")</f>
        <v>Analyzer 24MHz 8CH</v>
      </c>
      <c r="D156" s="10" t="str">
        <f aca="false">IFERROR(INDEX(Inventory!$C$2:$C$381,MATCH($B156,Inventory!$P$2:$P$381,0)),"")</f>
        <v>Misc</v>
      </c>
      <c r="E156" s="18" t="str">
        <f aca="false">IFERROR(INDEX(Inventory!$E$2:$E$381,MATCH($B156,Inventory!$P$2:$P$381,0)),"")</f>
        <v>SMD BOX</v>
      </c>
      <c r="F156" s="11" t="n">
        <f aca="false">IFERROR(INDEX(Inventory!$H$2:$H$381,MATCH($B156,Inventory!$P$2:$P$381,0)),"")</f>
        <v>1</v>
      </c>
      <c r="G156" s="11" t="n">
        <f aca="false">IFERROR(INDEX(Inventory!$I$2:$I$381,MATCH($B156,Inventory!$P$2:$P$381,0)),"")</f>
        <v>2</v>
      </c>
      <c r="H156" s="19" t="n">
        <f aca="false">IF($C156="","",IF($F156="","count it",MAX(0,$G156-$F156)))</f>
        <v>1</v>
      </c>
      <c r="I156" s="11" t="str">
        <f aca="false">IFERROR(INDEX(Inventory!$J$2:$J$381,MATCH($B156,Inventory!$P$2:$P$381,0)),"")</f>
        <v>Low stock</v>
      </c>
    </row>
    <row r="157" customFormat="false" ht="15" hidden="false" customHeight="false" outlineLevel="0" collapsed="false">
      <c r="B157" s="5" t="n">
        <v>152</v>
      </c>
      <c r="C157" s="10" t="str">
        <f aca="false">IFERROR(INDEX(Inventory!$B$2:$B$381,MATCH($B157,Inventory!$P$2:$P$381,0)),"")</f>
        <v>HT Coil for Amp Detection 100A</v>
      </c>
      <c r="D157" s="10" t="str">
        <f aca="false">IFERROR(INDEX(Inventory!$C$2:$C$381,MATCH($B157,Inventory!$P$2:$P$381,0)),"")</f>
        <v>Misc</v>
      </c>
      <c r="E157" s="18" t="str">
        <f aca="false">IFERROR(INDEX(Inventory!$E$2:$E$381,MATCH($B157,Inventory!$P$2:$P$381,0)),"")</f>
        <v>C5</v>
      </c>
      <c r="F157" s="11" t="n">
        <f aca="false">IFERROR(INDEX(Inventory!$H$2:$H$381,MATCH($B157,Inventory!$P$2:$P$381,0)),"")</f>
        <v>1</v>
      </c>
      <c r="G157" s="11" t="n">
        <f aca="false">IFERROR(INDEX(Inventory!$I$2:$I$381,MATCH($B157,Inventory!$P$2:$P$381,0)),"")</f>
        <v>2</v>
      </c>
      <c r="H157" s="19" t="n">
        <f aca="false">IF($C157="","",IF($F157="","count it",MAX(0,$G157-$F157)))</f>
        <v>1</v>
      </c>
      <c r="I157" s="11" t="str">
        <f aca="false">IFERROR(INDEX(Inventory!$J$2:$J$381,MATCH($B157,Inventory!$P$2:$P$381,0)),"")</f>
        <v>Low stock</v>
      </c>
    </row>
    <row r="158" customFormat="false" ht="15" hidden="false" customHeight="false" outlineLevel="0" collapsed="false">
      <c r="B158" s="5" t="n">
        <v>153</v>
      </c>
      <c r="C158" s="10" t="str">
        <f aca="false">IFERROR(INDEX(Inventory!$B$2:$B$381,MATCH($B158,Inventory!$P$2:$P$381,0)),"")</f>
        <v/>
      </c>
      <c r="D158" s="10" t="str">
        <f aca="false">IFERROR(INDEX(Inventory!$C$2:$C$381,MATCH($B158,Inventory!$P$2:$P$381,0)),"")</f>
        <v/>
      </c>
      <c r="E158" s="18" t="str">
        <f aca="false">IFERROR(INDEX(Inventory!$E$2:$E$381,MATCH($B158,Inventory!$P$2:$P$381,0)),"")</f>
        <v/>
      </c>
      <c r="F158" s="11" t="str">
        <f aca="false">IFERROR(INDEX(Inventory!$H$2:$H$381,MATCH($B158,Inventory!$P$2:$P$381,0)),"")</f>
        <v/>
      </c>
      <c r="G158" s="11" t="str">
        <f aca="false">IFERROR(INDEX(Inventory!$I$2:$I$381,MATCH($B158,Inventory!$P$2:$P$381,0)),"")</f>
        <v/>
      </c>
      <c r="H158" s="19" t="str">
        <f aca="false">IF($C158="","",IF($F158="","count it",MAX(0,$G158-$F158)))</f>
        <v/>
      </c>
      <c r="I158" s="11" t="str">
        <f aca="false">IFERROR(INDEX(Inventory!$J$2:$J$381,MATCH($B158,Inventory!$P$2:$P$381,0)),"")</f>
        <v/>
      </c>
    </row>
    <row r="159" customFormat="false" ht="15" hidden="false" customHeight="false" outlineLevel="0" collapsed="false">
      <c r="B159" s="5" t="n">
        <v>154</v>
      </c>
      <c r="C159" s="10" t="str">
        <f aca="false">IFERROR(INDEX(Inventory!$B$2:$B$381,MATCH($B159,Inventory!$P$2:$P$381,0)),"")</f>
        <v/>
      </c>
      <c r="D159" s="10" t="str">
        <f aca="false">IFERROR(INDEX(Inventory!$C$2:$C$381,MATCH($B159,Inventory!$P$2:$P$381,0)),"")</f>
        <v/>
      </c>
      <c r="E159" s="18" t="str">
        <f aca="false">IFERROR(INDEX(Inventory!$E$2:$E$381,MATCH($B159,Inventory!$P$2:$P$381,0)),"")</f>
        <v/>
      </c>
      <c r="F159" s="11" t="str">
        <f aca="false">IFERROR(INDEX(Inventory!$H$2:$H$381,MATCH($B159,Inventory!$P$2:$P$381,0)),"")</f>
        <v/>
      </c>
      <c r="G159" s="11" t="str">
        <f aca="false">IFERROR(INDEX(Inventory!$I$2:$I$381,MATCH($B159,Inventory!$P$2:$P$381,0)),"")</f>
        <v/>
      </c>
      <c r="H159" s="19" t="str">
        <f aca="false">IF($C159="","",IF($F159="","count it",MAX(0,$G159-$F159)))</f>
        <v/>
      </c>
      <c r="I159" s="11" t="str">
        <f aca="false">IFERROR(INDEX(Inventory!$J$2:$J$381,MATCH($B159,Inventory!$P$2:$P$381,0)),"")</f>
        <v/>
      </c>
    </row>
    <row r="160" customFormat="false" ht="15" hidden="false" customHeight="false" outlineLevel="0" collapsed="false">
      <c r="B160" s="5" t="n">
        <v>155</v>
      </c>
      <c r="C160" s="10" t="str">
        <f aca="false">IFERROR(INDEX(Inventory!$B$2:$B$381,MATCH($B160,Inventory!$P$2:$P$381,0)),"")</f>
        <v/>
      </c>
      <c r="D160" s="10" t="str">
        <f aca="false">IFERROR(INDEX(Inventory!$C$2:$C$381,MATCH($B160,Inventory!$P$2:$P$381,0)),"")</f>
        <v/>
      </c>
      <c r="E160" s="18" t="str">
        <f aca="false">IFERROR(INDEX(Inventory!$E$2:$E$381,MATCH($B160,Inventory!$P$2:$P$381,0)),"")</f>
        <v/>
      </c>
      <c r="F160" s="11" t="str">
        <f aca="false">IFERROR(INDEX(Inventory!$H$2:$H$381,MATCH($B160,Inventory!$P$2:$P$381,0)),"")</f>
        <v/>
      </c>
      <c r="G160" s="11" t="str">
        <f aca="false">IFERROR(INDEX(Inventory!$I$2:$I$381,MATCH($B160,Inventory!$P$2:$P$381,0)),"")</f>
        <v/>
      </c>
      <c r="H160" s="19" t="str">
        <f aca="false">IF($C160="","",IF($F160="","count it",MAX(0,$G160-$F160)))</f>
        <v/>
      </c>
      <c r="I160" s="11" t="str">
        <f aca="false">IFERROR(INDEX(Inventory!$J$2:$J$381,MATCH($B160,Inventory!$P$2:$P$381,0)),"")</f>
        <v/>
      </c>
    </row>
    <row r="161" customFormat="false" ht="15" hidden="false" customHeight="false" outlineLevel="0" collapsed="false">
      <c r="B161" s="5" t="n">
        <v>156</v>
      </c>
      <c r="C161" s="10" t="str">
        <f aca="false">IFERROR(INDEX(Inventory!$B$2:$B$381,MATCH($B161,Inventory!$P$2:$P$381,0)),"")</f>
        <v/>
      </c>
      <c r="D161" s="10" t="str">
        <f aca="false">IFERROR(INDEX(Inventory!$C$2:$C$381,MATCH($B161,Inventory!$P$2:$P$381,0)),"")</f>
        <v/>
      </c>
      <c r="E161" s="18" t="str">
        <f aca="false">IFERROR(INDEX(Inventory!$E$2:$E$381,MATCH($B161,Inventory!$P$2:$P$381,0)),"")</f>
        <v/>
      </c>
      <c r="F161" s="11" t="str">
        <f aca="false">IFERROR(INDEX(Inventory!$H$2:$H$381,MATCH($B161,Inventory!$P$2:$P$381,0)),"")</f>
        <v/>
      </c>
      <c r="G161" s="11" t="str">
        <f aca="false">IFERROR(INDEX(Inventory!$I$2:$I$381,MATCH($B161,Inventory!$P$2:$P$381,0)),"")</f>
        <v/>
      </c>
      <c r="H161" s="19" t="str">
        <f aca="false">IF($C161="","",IF($F161="","count it",MAX(0,$G161-$F161)))</f>
        <v/>
      </c>
      <c r="I161" s="11" t="str">
        <f aca="false">IFERROR(INDEX(Inventory!$J$2:$J$381,MATCH($B161,Inventory!$P$2:$P$381,0)),"")</f>
        <v/>
      </c>
    </row>
    <row r="162" customFormat="false" ht="15" hidden="false" customHeight="false" outlineLevel="0" collapsed="false">
      <c r="B162" s="5" t="n">
        <v>157</v>
      </c>
      <c r="C162" s="10" t="str">
        <f aca="false">IFERROR(INDEX(Inventory!$B$2:$B$381,MATCH($B162,Inventory!$P$2:$P$381,0)),"")</f>
        <v/>
      </c>
      <c r="D162" s="10" t="str">
        <f aca="false">IFERROR(INDEX(Inventory!$C$2:$C$381,MATCH($B162,Inventory!$P$2:$P$381,0)),"")</f>
        <v/>
      </c>
      <c r="E162" s="18" t="str">
        <f aca="false">IFERROR(INDEX(Inventory!$E$2:$E$381,MATCH($B162,Inventory!$P$2:$P$381,0)),"")</f>
        <v/>
      </c>
      <c r="F162" s="11" t="str">
        <f aca="false">IFERROR(INDEX(Inventory!$H$2:$H$381,MATCH($B162,Inventory!$P$2:$P$381,0)),"")</f>
        <v/>
      </c>
      <c r="G162" s="11" t="str">
        <f aca="false">IFERROR(INDEX(Inventory!$I$2:$I$381,MATCH($B162,Inventory!$P$2:$P$381,0)),"")</f>
        <v/>
      </c>
      <c r="H162" s="19" t="str">
        <f aca="false">IF($C162="","",IF($F162="","count it",MAX(0,$G162-$F162)))</f>
        <v/>
      </c>
      <c r="I162" s="11" t="str">
        <f aca="false">IFERROR(INDEX(Inventory!$J$2:$J$381,MATCH($B162,Inventory!$P$2:$P$381,0)),"")</f>
        <v/>
      </c>
    </row>
    <row r="163" customFormat="false" ht="15" hidden="false" customHeight="false" outlineLevel="0" collapsed="false">
      <c r="B163" s="5" t="n">
        <v>158</v>
      </c>
      <c r="C163" s="10" t="str">
        <f aca="false">IFERROR(INDEX(Inventory!$B$2:$B$381,MATCH($B163,Inventory!$P$2:$P$381,0)),"")</f>
        <v/>
      </c>
      <c r="D163" s="10" t="str">
        <f aca="false">IFERROR(INDEX(Inventory!$C$2:$C$381,MATCH($B163,Inventory!$P$2:$P$381,0)),"")</f>
        <v/>
      </c>
      <c r="E163" s="18" t="str">
        <f aca="false">IFERROR(INDEX(Inventory!$E$2:$E$381,MATCH($B163,Inventory!$P$2:$P$381,0)),"")</f>
        <v/>
      </c>
      <c r="F163" s="11" t="str">
        <f aca="false">IFERROR(INDEX(Inventory!$H$2:$H$381,MATCH($B163,Inventory!$P$2:$P$381,0)),"")</f>
        <v/>
      </c>
      <c r="G163" s="11" t="str">
        <f aca="false">IFERROR(INDEX(Inventory!$I$2:$I$381,MATCH($B163,Inventory!$P$2:$P$381,0)),"")</f>
        <v/>
      </c>
      <c r="H163" s="19" t="str">
        <f aca="false">IF($C163="","",IF($F163="","count it",MAX(0,$G163-$F163)))</f>
        <v/>
      </c>
      <c r="I163" s="11" t="str">
        <f aca="false">IFERROR(INDEX(Inventory!$J$2:$J$381,MATCH($B163,Inventory!$P$2:$P$381,0)),"")</f>
        <v/>
      </c>
    </row>
    <row r="164" customFormat="false" ht="15" hidden="false" customHeight="false" outlineLevel="0" collapsed="false">
      <c r="B164" s="5" t="n">
        <v>159</v>
      </c>
      <c r="C164" s="10" t="str">
        <f aca="false">IFERROR(INDEX(Inventory!$B$2:$B$381,MATCH($B164,Inventory!$P$2:$P$381,0)),"")</f>
        <v/>
      </c>
      <c r="D164" s="10" t="str">
        <f aca="false">IFERROR(INDEX(Inventory!$C$2:$C$381,MATCH($B164,Inventory!$P$2:$P$381,0)),"")</f>
        <v/>
      </c>
      <c r="E164" s="18" t="str">
        <f aca="false">IFERROR(INDEX(Inventory!$E$2:$E$381,MATCH($B164,Inventory!$P$2:$P$381,0)),"")</f>
        <v/>
      </c>
      <c r="F164" s="11" t="str">
        <f aca="false">IFERROR(INDEX(Inventory!$H$2:$H$381,MATCH($B164,Inventory!$P$2:$P$381,0)),"")</f>
        <v/>
      </c>
      <c r="G164" s="11" t="str">
        <f aca="false">IFERROR(INDEX(Inventory!$I$2:$I$381,MATCH($B164,Inventory!$P$2:$P$381,0)),"")</f>
        <v/>
      </c>
      <c r="H164" s="19" t="str">
        <f aca="false">IF($C164="","",IF($F164="","count it",MAX(0,$G164-$F164)))</f>
        <v/>
      </c>
      <c r="I164" s="11" t="str">
        <f aca="false">IFERROR(INDEX(Inventory!$J$2:$J$381,MATCH($B164,Inventory!$P$2:$P$381,0)),"")</f>
        <v/>
      </c>
    </row>
    <row r="165" customFormat="false" ht="15" hidden="false" customHeight="false" outlineLevel="0" collapsed="false">
      <c r="B165" s="5" t="n">
        <v>160</v>
      </c>
      <c r="C165" s="10" t="str">
        <f aca="false">IFERROR(INDEX(Inventory!$B$2:$B$381,MATCH($B165,Inventory!$P$2:$P$381,0)),"")</f>
        <v/>
      </c>
      <c r="D165" s="10" t="str">
        <f aca="false">IFERROR(INDEX(Inventory!$C$2:$C$381,MATCH($B165,Inventory!$P$2:$P$381,0)),"")</f>
        <v/>
      </c>
      <c r="E165" s="18" t="str">
        <f aca="false">IFERROR(INDEX(Inventory!$E$2:$E$381,MATCH($B165,Inventory!$P$2:$P$381,0)),"")</f>
        <v/>
      </c>
      <c r="F165" s="11" t="str">
        <f aca="false">IFERROR(INDEX(Inventory!$H$2:$H$381,MATCH($B165,Inventory!$P$2:$P$381,0)),"")</f>
        <v/>
      </c>
      <c r="G165" s="11" t="str">
        <f aca="false">IFERROR(INDEX(Inventory!$I$2:$I$381,MATCH($B165,Inventory!$P$2:$P$381,0)),"")</f>
        <v/>
      </c>
      <c r="H165" s="19" t="str">
        <f aca="false">IF($C165="","",IF($F165="","count it",MAX(0,$G165-$F165)))</f>
        <v/>
      </c>
      <c r="I165" s="11" t="str">
        <f aca="false">IFERROR(INDEX(Inventory!$J$2:$J$381,MATCH($B165,Inventory!$P$2:$P$381,0)),"")</f>
        <v/>
      </c>
    </row>
    <row r="166" customFormat="false" ht="15" hidden="false" customHeight="false" outlineLevel="0" collapsed="false">
      <c r="B166" s="5" t="n">
        <v>161</v>
      </c>
      <c r="C166" s="10" t="str">
        <f aca="false">IFERROR(INDEX(Inventory!$B$2:$B$381,MATCH($B166,Inventory!$P$2:$P$381,0)),"")</f>
        <v/>
      </c>
      <c r="D166" s="10" t="str">
        <f aca="false">IFERROR(INDEX(Inventory!$C$2:$C$381,MATCH($B166,Inventory!$P$2:$P$381,0)),"")</f>
        <v/>
      </c>
      <c r="E166" s="18" t="str">
        <f aca="false">IFERROR(INDEX(Inventory!$E$2:$E$381,MATCH($B166,Inventory!$P$2:$P$381,0)),"")</f>
        <v/>
      </c>
      <c r="F166" s="11" t="str">
        <f aca="false">IFERROR(INDEX(Inventory!$H$2:$H$381,MATCH($B166,Inventory!$P$2:$P$381,0)),"")</f>
        <v/>
      </c>
      <c r="G166" s="11" t="str">
        <f aca="false">IFERROR(INDEX(Inventory!$I$2:$I$381,MATCH($B166,Inventory!$P$2:$P$381,0)),"")</f>
        <v/>
      </c>
      <c r="H166" s="19" t="str">
        <f aca="false">IF($C166="","",IF($F166="","count it",MAX(0,$G166-$F166)))</f>
        <v/>
      </c>
      <c r="I166" s="11" t="str">
        <f aca="false">IFERROR(INDEX(Inventory!$J$2:$J$381,MATCH($B166,Inventory!$P$2:$P$381,0)),"")</f>
        <v/>
      </c>
    </row>
    <row r="167" customFormat="false" ht="15" hidden="false" customHeight="false" outlineLevel="0" collapsed="false">
      <c r="B167" s="5" t="n">
        <v>162</v>
      </c>
      <c r="C167" s="10" t="str">
        <f aca="false">IFERROR(INDEX(Inventory!$B$2:$B$381,MATCH($B167,Inventory!$P$2:$P$381,0)),"")</f>
        <v/>
      </c>
      <c r="D167" s="10" t="str">
        <f aca="false">IFERROR(INDEX(Inventory!$C$2:$C$381,MATCH($B167,Inventory!$P$2:$P$381,0)),"")</f>
        <v/>
      </c>
      <c r="E167" s="18" t="str">
        <f aca="false">IFERROR(INDEX(Inventory!$E$2:$E$381,MATCH($B167,Inventory!$P$2:$P$381,0)),"")</f>
        <v/>
      </c>
      <c r="F167" s="11" t="str">
        <f aca="false">IFERROR(INDEX(Inventory!$H$2:$H$381,MATCH($B167,Inventory!$P$2:$P$381,0)),"")</f>
        <v/>
      </c>
      <c r="G167" s="11" t="str">
        <f aca="false">IFERROR(INDEX(Inventory!$I$2:$I$381,MATCH($B167,Inventory!$P$2:$P$381,0)),"")</f>
        <v/>
      </c>
      <c r="H167" s="19" t="str">
        <f aca="false">IF($C167="","",IF($F167="","count it",MAX(0,$G167-$F167)))</f>
        <v/>
      </c>
      <c r="I167" s="11" t="str">
        <f aca="false">IFERROR(INDEX(Inventory!$J$2:$J$381,MATCH($B167,Inventory!$P$2:$P$381,0)),"")</f>
        <v/>
      </c>
    </row>
    <row r="168" customFormat="false" ht="15" hidden="false" customHeight="false" outlineLevel="0" collapsed="false">
      <c r="B168" s="5" t="n">
        <v>163</v>
      </c>
      <c r="C168" s="10" t="str">
        <f aca="false">IFERROR(INDEX(Inventory!$B$2:$B$381,MATCH($B168,Inventory!$P$2:$P$381,0)),"")</f>
        <v/>
      </c>
      <c r="D168" s="10" t="str">
        <f aca="false">IFERROR(INDEX(Inventory!$C$2:$C$381,MATCH($B168,Inventory!$P$2:$P$381,0)),"")</f>
        <v/>
      </c>
      <c r="E168" s="18" t="str">
        <f aca="false">IFERROR(INDEX(Inventory!$E$2:$E$381,MATCH($B168,Inventory!$P$2:$P$381,0)),"")</f>
        <v/>
      </c>
      <c r="F168" s="11" t="str">
        <f aca="false">IFERROR(INDEX(Inventory!$H$2:$H$381,MATCH($B168,Inventory!$P$2:$P$381,0)),"")</f>
        <v/>
      </c>
      <c r="G168" s="11" t="str">
        <f aca="false">IFERROR(INDEX(Inventory!$I$2:$I$381,MATCH($B168,Inventory!$P$2:$P$381,0)),"")</f>
        <v/>
      </c>
      <c r="H168" s="19" t="str">
        <f aca="false">IF($C168="","",IF($F168="","count it",MAX(0,$G168-$F168)))</f>
        <v/>
      </c>
      <c r="I168" s="11" t="str">
        <f aca="false">IFERROR(INDEX(Inventory!$J$2:$J$381,MATCH($B168,Inventory!$P$2:$P$381,0)),"")</f>
        <v/>
      </c>
    </row>
    <row r="169" customFormat="false" ht="15" hidden="false" customHeight="false" outlineLevel="0" collapsed="false">
      <c r="B169" s="5" t="n">
        <v>164</v>
      </c>
      <c r="C169" s="10" t="str">
        <f aca="false">IFERROR(INDEX(Inventory!$B$2:$B$381,MATCH($B169,Inventory!$P$2:$P$381,0)),"")</f>
        <v/>
      </c>
      <c r="D169" s="10" t="str">
        <f aca="false">IFERROR(INDEX(Inventory!$C$2:$C$381,MATCH($B169,Inventory!$P$2:$P$381,0)),"")</f>
        <v/>
      </c>
      <c r="E169" s="18" t="str">
        <f aca="false">IFERROR(INDEX(Inventory!$E$2:$E$381,MATCH($B169,Inventory!$P$2:$P$381,0)),"")</f>
        <v/>
      </c>
      <c r="F169" s="11" t="str">
        <f aca="false">IFERROR(INDEX(Inventory!$H$2:$H$381,MATCH($B169,Inventory!$P$2:$P$381,0)),"")</f>
        <v/>
      </c>
      <c r="G169" s="11" t="str">
        <f aca="false">IFERROR(INDEX(Inventory!$I$2:$I$381,MATCH($B169,Inventory!$P$2:$P$381,0)),"")</f>
        <v/>
      </c>
      <c r="H169" s="19" t="str">
        <f aca="false">IF($C169="","",IF($F169="","count it",MAX(0,$G169-$F169)))</f>
        <v/>
      </c>
      <c r="I169" s="11" t="str">
        <f aca="false">IFERROR(INDEX(Inventory!$J$2:$J$381,MATCH($B169,Inventory!$P$2:$P$381,0)),"")</f>
        <v/>
      </c>
    </row>
    <row r="170" customFormat="false" ht="15" hidden="false" customHeight="false" outlineLevel="0" collapsed="false">
      <c r="B170" s="5" t="n">
        <v>165</v>
      </c>
      <c r="C170" s="10" t="str">
        <f aca="false">IFERROR(INDEX(Inventory!$B$2:$B$381,MATCH($B170,Inventory!$P$2:$P$381,0)),"")</f>
        <v/>
      </c>
      <c r="D170" s="10" t="str">
        <f aca="false">IFERROR(INDEX(Inventory!$C$2:$C$381,MATCH($B170,Inventory!$P$2:$P$381,0)),"")</f>
        <v/>
      </c>
      <c r="E170" s="18" t="str">
        <f aca="false">IFERROR(INDEX(Inventory!$E$2:$E$381,MATCH($B170,Inventory!$P$2:$P$381,0)),"")</f>
        <v/>
      </c>
      <c r="F170" s="11" t="str">
        <f aca="false">IFERROR(INDEX(Inventory!$H$2:$H$381,MATCH($B170,Inventory!$P$2:$P$381,0)),"")</f>
        <v/>
      </c>
      <c r="G170" s="11" t="str">
        <f aca="false">IFERROR(INDEX(Inventory!$I$2:$I$381,MATCH($B170,Inventory!$P$2:$P$381,0)),"")</f>
        <v/>
      </c>
      <c r="H170" s="19" t="str">
        <f aca="false">IF($C170="","",IF($F170="","count it",MAX(0,$G170-$F170)))</f>
        <v/>
      </c>
      <c r="I170" s="11" t="str">
        <f aca="false">IFERROR(INDEX(Inventory!$J$2:$J$381,MATCH($B170,Inventory!$P$2:$P$381,0)),"")</f>
        <v/>
      </c>
    </row>
    <row r="171" customFormat="false" ht="15" hidden="false" customHeight="false" outlineLevel="0" collapsed="false">
      <c r="B171" s="5" t="n">
        <v>166</v>
      </c>
      <c r="C171" s="10" t="str">
        <f aca="false">IFERROR(INDEX(Inventory!$B$2:$B$381,MATCH($B171,Inventory!$P$2:$P$381,0)),"")</f>
        <v/>
      </c>
      <c r="D171" s="10" t="str">
        <f aca="false">IFERROR(INDEX(Inventory!$C$2:$C$381,MATCH($B171,Inventory!$P$2:$P$381,0)),"")</f>
        <v/>
      </c>
      <c r="E171" s="18" t="str">
        <f aca="false">IFERROR(INDEX(Inventory!$E$2:$E$381,MATCH($B171,Inventory!$P$2:$P$381,0)),"")</f>
        <v/>
      </c>
      <c r="F171" s="11" t="str">
        <f aca="false">IFERROR(INDEX(Inventory!$H$2:$H$381,MATCH($B171,Inventory!$P$2:$P$381,0)),"")</f>
        <v/>
      </c>
      <c r="G171" s="11" t="str">
        <f aca="false">IFERROR(INDEX(Inventory!$I$2:$I$381,MATCH($B171,Inventory!$P$2:$P$381,0)),"")</f>
        <v/>
      </c>
      <c r="H171" s="19" t="str">
        <f aca="false">IF($C171="","",IF($F171="","count it",MAX(0,$G171-$F171)))</f>
        <v/>
      </c>
      <c r="I171" s="11" t="str">
        <f aca="false">IFERROR(INDEX(Inventory!$J$2:$J$381,MATCH($B171,Inventory!$P$2:$P$381,0)),"")</f>
        <v/>
      </c>
    </row>
    <row r="172" customFormat="false" ht="15" hidden="false" customHeight="false" outlineLevel="0" collapsed="false">
      <c r="B172" s="5" t="n">
        <v>167</v>
      </c>
      <c r="C172" s="10" t="str">
        <f aca="false">IFERROR(INDEX(Inventory!$B$2:$B$381,MATCH($B172,Inventory!$P$2:$P$381,0)),"")</f>
        <v/>
      </c>
      <c r="D172" s="10" t="str">
        <f aca="false">IFERROR(INDEX(Inventory!$C$2:$C$381,MATCH($B172,Inventory!$P$2:$P$381,0)),"")</f>
        <v/>
      </c>
      <c r="E172" s="18" t="str">
        <f aca="false">IFERROR(INDEX(Inventory!$E$2:$E$381,MATCH($B172,Inventory!$P$2:$P$381,0)),"")</f>
        <v/>
      </c>
      <c r="F172" s="11" t="str">
        <f aca="false">IFERROR(INDEX(Inventory!$H$2:$H$381,MATCH($B172,Inventory!$P$2:$P$381,0)),"")</f>
        <v/>
      </c>
      <c r="G172" s="11" t="str">
        <f aca="false">IFERROR(INDEX(Inventory!$I$2:$I$381,MATCH($B172,Inventory!$P$2:$P$381,0)),"")</f>
        <v/>
      </c>
      <c r="H172" s="19" t="str">
        <f aca="false">IF($C172="","",IF($F172="","count it",MAX(0,$G172-$F172)))</f>
        <v/>
      </c>
      <c r="I172" s="11" t="str">
        <f aca="false">IFERROR(INDEX(Inventory!$J$2:$J$381,MATCH($B172,Inventory!$P$2:$P$381,0)),"")</f>
        <v/>
      </c>
    </row>
    <row r="173" customFormat="false" ht="15" hidden="false" customHeight="false" outlineLevel="0" collapsed="false">
      <c r="B173" s="5" t="n">
        <v>168</v>
      </c>
      <c r="C173" s="10" t="str">
        <f aca="false">IFERROR(INDEX(Inventory!$B$2:$B$381,MATCH($B173,Inventory!$P$2:$P$381,0)),"")</f>
        <v/>
      </c>
      <c r="D173" s="10" t="str">
        <f aca="false">IFERROR(INDEX(Inventory!$C$2:$C$381,MATCH($B173,Inventory!$P$2:$P$381,0)),"")</f>
        <v/>
      </c>
      <c r="E173" s="18" t="str">
        <f aca="false">IFERROR(INDEX(Inventory!$E$2:$E$381,MATCH($B173,Inventory!$P$2:$P$381,0)),"")</f>
        <v/>
      </c>
      <c r="F173" s="11" t="str">
        <f aca="false">IFERROR(INDEX(Inventory!$H$2:$H$381,MATCH($B173,Inventory!$P$2:$P$381,0)),"")</f>
        <v/>
      </c>
      <c r="G173" s="11" t="str">
        <f aca="false">IFERROR(INDEX(Inventory!$I$2:$I$381,MATCH($B173,Inventory!$P$2:$P$381,0)),"")</f>
        <v/>
      </c>
      <c r="H173" s="19" t="str">
        <f aca="false">IF($C173="","",IF($F173="","count it",MAX(0,$G173-$F173)))</f>
        <v/>
      </c>
      <c r="I173" s="11" t="str">
        <f aca="false">IFERROR(INDEX(Inventory!$J$2:$J$381,MATCH($B173,Inventory!$P$2:$P$381,0)),"")</f>
        <v/>
      </c>
    </row>
    <row r="174" customFormat="false" ht="15" hidden="false" customHeight="false" outlineLevel="0" collapsed="false">
      <c r="B174" s="5" t="n">
        <v>169</v>
      </c>
      <c r="C174" s="10" t="str">
        <f aca="false">IFERROR(INDEX(Inventory!$B$2:$B$381,MATCH($B174,Inventory!$P$2:$P$381,0)),"")</f>
        <v/>
      </c>
      <c r="D174" s="10" t="str">
        <f aca="false">IFERROR(INDEX(Inventory!$C$2:$C$381,MATCH($B174,Inventory!$P$2:$P$381,0)),"")</f>
        <v/>
      </c>
      <c r="E174" s="18" t="str">
        <f aca="false">IFERROR(INDEX(Inventory!$E$2:$E$381,MATCH($B174,Inventory!$P$2:$P$381,0)),"")</f>
        <v/>
      </c>
      <c r="F174" s="11" t="str">
        <f aca="false">IFERROR(INDEX(Inventory!$H$2:$H$381,MATCH($B174,Inventory!$P$2:$P$381,0)),"")</f>
        <v/>
      </c>
      <c r="G174" s="11" t="str">
        <f aca="false">IFERROR(INDEX(Inventory!$I$2:$I$381,MATCH($B174,Inventory!$P$2:$P$381,0)),"")</f>
        <v/>
      </c>
      <c r="H174" s="19" t="str">
        <f aca="false">IF($C174="","",IF($F174="","count it",MAX(0,$G174-$F174)))</f>
        <v/>
      </c>
      <c r="I174" s="11" t="str">
        <f aca="false">IFERROR(INDEX(Inventory!$J$2:$J$381,MATCH($B174,Inventory!$P$2:$P$381,0)),"")</f>
        <v/>
      </c>
    </row>
    <row r="175" customFormat="false" ht="15" hidden="false" customHeight="false" outlineLevel="0" collapsed="false">
      <c r="B175" s="5" t="n">
        <v>170</v>
      </c>
      <c r="C175" s="10" t="str">
        <f aca="false">IFERROR(INDEX(Inventory!$B$2:$B$381,MATCH($B175,Inventory!$P$2:$P$381,0)),"")</f>
        <v/>
      </c>
      <c r="D175" s="10" t="str">
        <f aca="false">IFERROR(INDEX(Inventory!$C$2:$C$381,MATCH($B175,Inventory!$P$2:$P$381,0)),"")</f>
        <v/>
      </c>
      <c r="E175" s="18" t="str">
        <f aca="false">IFERROR(INDEX(Inventory!$E$2:$E$381,MATCH($B175,Inventory!$P$2:$P$381,0)),"")</f>
        <v/>
      </c>
      <c r="F175" s="11" t="str">
        <f aca="false">IFERROR(INDEX(Inventory!$H$2:$H$381,MATCH($B175,Inventory!$P$2:$P$381,0)),"")</f>
        <v/>
      </c>
      <c r="G175" s="11" t="str">
        <f aca="false">IFERROR(INDEX(Inventory!$I$2:$I$381,MATCH($B175,Inventory!$P$2:$P$381,0)),"")</f>
        <v/>
      </c>
      <c r="H175" s="19" t="str">
        <f aca="false">IF($C175="","",IF($F175="","count it",MAX(0,$G175-$F175)))</f>
        <v/>
      </c>
      <c r="I175" s="11" t="str">
        <f aca="false">IFERROR(INDEX(Inventory!$J$2:$J$381,MATCH($B175,Inventory!$P$2:$P$381,0)),"")</f>
        <v/>
      </c>
    </row>
    <row r="176" customFormat="false" ht="15" hidden="false" customHeight="false" outlineLevel="0" collapsed="false">
      <c r="B176" s="5" t="n">
        <v>171</v>
      </c>
      <c r="C176" s="10" t="str">
        <f aca="false">IFERROR(INDEX(Inventory!$B$2:$B$381,MATCH($B176,Inventory!$P$2:$P$381,0)),"")</f>
        <v/>
      </c>
      <c r="D176" s="10" t="str">
        <f aca="false">IFERROR(INDEX(Inventory!$C$2:$C$381,MATCH($B176,Inventory!$P$2:$P$381,0)),"")</f>
        <v/>
      </c>
      <c r="E176" s="18" t="str">
        <f aca="false">IFERROR(INDEX(Inventory!$E$2:$E$381,MATCH($B176,Inventory!$P$2:$P$381,0)),"")</f>
        <v/>
      </c>
      <c r="F176" s="11" t="str">
        <f aca="false">IFERROR(INDEX(Inventory!$H$2:$H$381,MATCH($B176,Inventory!$P$2:$P$381,0)),"")</f>
        <v/>
      </c>
      <c r="G176" s="11" t="str">
        <f aca="false">IFERROR(INDEX(Inventory!$I$2:$I$381,MATCH($B176,Inventory!$P$2:$P$381,0)),"")</f>
        <v/>
      </c>
      <c r="H176" s="19" t="str">
        <f aca="false">IF($C176="","",IF($F176="","count it",MAX(0,$G176-$F176)))</f>
        <v/>
      </c>
      <c r="I176" s="11" t="str">
        <f aca="false">IFERROR(INDEX(Inventory!$J$2:$J$381,MATCH($B176,Inventory!$P$2:$P$381,0)),"")</f>
        <v/>
      </c>
    </row>
    <row r="177" customFormat="false" ht="15" hidden="false" customHeight="false" outlineLevel="0" collapsed="false">
      <c r="B177" s="5" t="n">
        <v>172</v>
      </c>
      <c r="C177" s="10" t="str">
        <f aca="false">IFERROR(INDEX(Inventory!$B$2:$B$381,MATCH($B177,Inventory!$P$2:$P$381,0)),"")</f>
        <v/>
      </c>
      <c r="D177" s="10" t="str">
        <f aca="false">IFERROR(INDEX(Inventory!$C$2:$C$381,MATCH($B177,Inventory!$P$2:$P$381,0)),"")</f>
        <v/>
      </c>
      <c r="E177" s="18" t="str">
        <f aca="false">IFERROR(INDEX(Inventory!$E$2:$E$381,MATCH($B177,Inventory!$P$2:$P$381,0)),"")</f>
        <v/>
      </c>
      <c r="F177" s="11" t="str">
        <f aca="false">IFERROR(INDEX(Inventory!$H$2:$H$381,MATCH($B177,Inventory!$P$2:$P$381,0)),"")</f>
        <v/>
      </c>
      <c r="G177" s="11" t="str">
        <f aca="false">IFERROR(INDEX(Inventory!$I$2:$I$381,MATCH($B177,Inventory!$P$2:$P$381,0)),"")</f>
        <v/>
      </c>
      <c r="H177" s="19" t="str">
        <f aca="false">IF($C177="","",IF($F177="","count it",MAX(0,$G177-$F177)))</f>
        <v/>
      </c>
      <c r="I177" s="11" t="str">
        <f aca="false">IFERROR(INDEX(Inventory!$J$2:$J$381,MATCH($B177,Inventory!$P$2:$P$381,0)),"")</f>
        <v/>
      </c>
    </row>
    <row r="178" customFormat="false" ht="15" hidden="false" customHeight="false" outlineLevel="0" collapsed="false">
      <c r="B178" s="5" t="n">
        <v>173</v>
      </c>
      <c r="C178" s="10" t="str">
        <f aca="false">IFERROR(INDEX(Inventory!$B$2:$B$381,MATCH($B178,Inventory!$P$2:$P$381,0)),"")</f>
        <v/>
      </c>
      <c r="D178" s="10" t="str">
        <f aca="false">IFERROR(INDEX(Inventory!$C$2:$C$381,MATCH($B178,Inventory!$P$2:$P$381,0)),"")</f>
        <v/>
      </c>
      <c r="E178" s="18" t="str">
        <f aca="false">IFERROR(INDEX(Inventory!$E$2:$E$381,MATCH($B178,Inventory!$P$2:$P$381,0)),"")</f>
        <v/>
      </c>
      <c r="F178" s="11" t="str">
        <f aca="false">IFERROR(INDEX(Inventory!$H$2:$H$381,MATCH($B178,Inventory!$P$2:$P$381,0)),"")</f>
        <v/>
      </c>
      <c r="G178" s="11" t="str">
        <f aca="false">IFERROR(INDEX(Inventory!$I$2:$I$381,MATCH($B178,Inventory!$P$2:$P$381,0)),"")</f>
        <v/>
      </c>
      <c r="H178" s="19" t="str">
        <f aca="false">IF($C178="","",IF($F178="","count it",MAX(0,$G178-$F178)))</f>
        <v/>
      </c>
      <c r="I178" s="11" t="str">
        <f aca="false">IFERROR(INDEX(Inventory!$J$2:$J$381,MATCH($B178,Inventory!$P$2:$P$381,0)),"")</f>
        <v/>
      </c>
    </row>
    <row r="179" customFormat="false" ht="15" hidden="false" customHeight="false" outlineLevel="0" collapsed="false">
      <c r="B179" s="5" t="n">
        <v>174</v>
      </c>
      <c r="C179" s="10" t="str">
        <f aca="false">IFERROR(INDEX(Inventory!$B$2:$B$381,MATCH($B179,Inventory!$P$2:$P$381,0)),"")</f>
        <v/>
      </c>
      <c r="D179" s="10" t="str">
        <f aca="false">IFERROR(INDEX(Inventory!$C$2:$C$381,MATCH($B179,Inventory!$P$2:$P$381,0)),"")</f>
        <v/>
      </c>
      <c r="E179" s="18" t="str">
        <f aca="false">IFERROR(INDEX(Inventory!$E$2:$E$381,MATCH($B179,Inventory!$P$2:$P$381,0)),"")</f>
        <v/>
      </c>
      <c r="F179" s="11" t="str">
        <f aca="false">IFERROR(INDEX(Inventory!$H$2:$H$381,MATCH($B179,Inventory!$P$2:$P$381,0)),"")</f>
        <v/>
      </c>
      <c r="G179" s="11" t="str">
        <f aca="false">IFERROR(INDEX(Inventory!$I$2:$I$381,MATCH($B179,Inventory!$P$2:$P$381,0)),"")</f>
        <v/>
      </c>
      <c r="H179" s="19" t="str">
        <f aca="false">IF($C179="","",IF($F179="","count it",MAX(0,$G179-$F179)))</f>
        <v/>
      </c>
      <c r="I179" s="11" t="str">
        <f aca="false">IFERROR(INDEX(Inventory!$J$2:$J$381,MATCH($B179,Inventory!$P$2:$P$381,0)),"")</f>
        <v/>
      </c>
    </row>
    <row r="180" customFormat="false" ht="15" hidden="false" customHeight="false" outlineLevel="0" collapsed="false">
      <c r="B180" s="5" t="n">
        <v>175</v>
      </c>
      <c r="C180" s="10" t="str">
        <f aca="false">IFERROR(INDEX(Inventory!$B$2:$B$381,MATCH($B180,Inventory!$P$2:$P$381,0)),"")</f>
        <v/>
      </c>
      <c r="D180" s="10" t="str">
        <f aca="false">IFERROR(INDEX(Inventory!$C$2:$C$381,MATCH($B180,Inventory!$P$2:$P$381,0)),"")</f>
        <v/>
      </c>
      <c r="E180" s="18" t="str">
        <f aca="false">IFERROR(INDEX(Inventory!$E$2:$E$381,MATCH($B180,Inventory!$P$2:$P$381,0)),"")</f>
        <v/>
      </c>
      <c r="F180" s="11" t="str">
        <f aca="false">IFERROR(INDEX(Inventory!$H$2:$H$381,MATCH($B180,Inventory!$P$2:$P$381,0)),"")</f>
        <v/>
      </c>
      <c r="G180" s="11" t="str">
        <f aca="false">IFERROR(INDEX(Inventory!$I$2:$I$381,MATCH($B180,Inventory!$P$2:$P$381,0)),"")</f>
        <v/>
      </c>
      <c r="H180" s="19" t="str">
        <f aca="false">IF($C180="","",IF($F180="","count it",MAX(0,$G180-$F180)))</f>
        <v/>
      </c>
      <c r="I180" s="11" t="str">
        <f aca="false">IFERROR(INDEX(Inventory!$J$2:$J$381,MATCH($B180,Inventory!$P$2:$P$381,0)),"")</f>
        <v/>
      </c>
    </row>
    <row r="181" customFormat="false" ht="15" hidden="false" customHeight="false" outlineLevel="0" collapsed="false">
      <c r="B181" s="5" t="n">
        <v>176</v>
      </c>
      <c r="C181" s="10" t="str">
        <f aca="false">IFERROR(INDEX(Inventory!$B$2:$B$381,MATCH($B181,Inventory!$P$2:$P$381,0)),"")</f>
        <v/>
      </c>
      <c r="D181" s="10" t="str">
        <f aca="false">IFERROR(INDEX(Inventory!$C$2:$C$381,MATCH($B181,Inventory!$P$2:$P$381,0)),"")</f>
        <v/>
      </c>
      <c r="E181" s="18" t="str">
        <f aca="false">IFERROR(INDEX(Inventory!$E$2:$E$381,MATCH($B181,Inventory!$P$2:$P$381,0)),"")</f>
        <v/>
      </c>
      <c r="F181" s="11" t="str">
        <f aca="false">IFERROR(INDEX(Inventory!$H$2:$H$381,MATCH($B181,Inventory!$P$2:$P$381,0)),"")</f>
        <v/>
      </c>
      <c r="G181" s="11" t="str">
        <f aca="false">IFERROR(INDEX(Inventory!$I$2:$I$381,MATCH($B181,Inventory!$P$2:$P$381,0)),"")</f>
        <v/>
      </c>
      <c r="H181" s="19" t="str">
        <f aca="false">IF($C181="","",IF($F181="","count it",MAX(0,$G181-$F181)))</f>
        <v/>
      </c>
      <c r="I181" s="11" t="str">
        <f aca="false">IFERROR(INDEX(Inventory!$J$2:$J$381,MATCH($B181,Inventory!$P$2:$P$381,0)),"")</f>
        <v/>
      </c>
    </row>
    <row r="182" customFormat="false" ht="15" hidden="false" customHeight="false" outlineLevel="0" collapsed="false">
      <c r="B182" s="5" t="n">
        <v>177</v>
      </c>
      <c r="C182" s="10" t="str">
        <f aca="false">IFERROR(INDEX(Inventory!$B$2:$B$381,MATCH($B182,Inventory!$P$2:$P$381,0)),"")</f>
        <v/>
      </c>
      <c r="D182" s="10" t="str">
        <f aca="false">IFERROR(INDEX(Inventory!$C$2:$C$381,MATCH($B182,Inventory!$P$2:$P$381,0)),"")</f>
        <v/>
      </c>
      <c r="E182" s="18" t="str">
        <f aca="false">IFERROR(INDEX(Inventory!$E$2:$E$381,MATCH($B182,Inventory!$P$2:$P$381,0)),"")</f>
        <v/>
      </c>
      <c r="F182" s="11" t="str">
        <f aca="false">IFERROR(INDEX(Inventory!$H$2:$H$381,MATCH($B182,Inventory!$P$2:$P$381,0)),"")</f>
        <v/>
      </c>
      <c r="G182" s="11" t="str">
        <f aca="false">IFERROR(INDEX(Inventory!$I$2:$I$381,MATCH($B182,Inventory!$P$2:$P$381,0)),"")</f>
        <v/>
      </c>
      <c r="H182" s="19" t="str">
        <f aca="false">IF($C182="","",IF($F182="","count it",MAX(0,$G182-$F182)))</f>
        <v/>
      </c>
      <c r="I182" s="11" t="str">
        <f aca="false">IFERROR(INDEX(Inventory!$J$2:$J$381,MATCH($B182,Inventory!$P$2:$P$381,0)),"")</f>
        <v/>
      </c>
    </row>
    <row r="183" customFormat="false" ht="15" hidden="false" customHeight="false" outlineLevel="0" collapsed="false">
      <c r="B183" s="5" t="n">
        <v>178</v>
      </c>
      <c r="C183" s="10" t="str">
        <f aca="false">IFERROR(INDEX(Inventory!$B$2:$B$381,MATCH($B183,Inventory!$P$2:$P$381,0)),"")</f>
        <v/>
      </c>
      <c r="D183" s="10" t="str">
        <f aca="false">IFERROR(INDEX(Inventory!$C$2:$C$381,MATCH($B183,Inventory!$P$2:$P$381,0)),"")</f>
        <v/>
      </c>
      <c r="E183" s="18" t="str">
        <f aca="false">IFERROR(INDEX(Inventory!$E$2:$E$381,MATCH($B183,Inventory!$P$2:$P$381,0)),"")</f>
        <v/>
      </c>
      <c r="F183" s="11" t="str">
        <f aca="false">IFERROR(INDEX(Inventory!$H$2:$H$381,MATCH($B183,Inventory!$P$2:$P$381,0)),"")</f>
        <v/>
      </c>
      <c r="G183" s="11" t="str">
        <f aca="false">IFERROR(INDEX(Inventory!$I$2:$I$381,MATCH($B183,Inventory!$P$2:$P$381,0)),"")</f>
        <v/>
      </c>
      <c r="H183" s="19" t="str">
        <f aca="false">IF($C183="","",IF($F183="","count it",MAX(0,$G183-$F183)))</f>
        <v/>
      </c>
      <c r="I183" s="11" t="str">
        <f aca="false">IFERROR(INDEX(Inventory!$J$2:$J$381,MATCH($B183,Inventory!$P$2:$P$381,0)),"")</f>
        <v/>
      </c>
    </row>
    <row r="184" customFormat="false" ht="15" hidden="false" customHeight="false" outlineLevel="0" collapsed="false">
      <c r="B184" s="5" t="n">
        <v>179</v>
      </c>
      <c r="C184" s="10" t="str">
        <f aca="false">IFERROR(INDEX(Inventory!$B$2:$B$381,MATCH($B184,Inventory!$P$2:$P$381,0)),"")</f>
        <v/>
      </c>
      <c r="D184" s="10" t="str">
        <f aca="false">IFERROR(INDEX(Inventory!$C$2:$C$381,MATCH($B184,Inventory!$P$2:$P$381,0)),"")</f>
        <v/>
      </c>
      <c r="E184" s="18" t="str">
        <f aca="false">IFERROR(INDEX(Inventory!$E$2:$E$381,MATCH($B184,Inventory!$P$2:$P$381,0)),"")</f>
        <v/>
      </c>
      <c r="F184" s="11" t="str">
        <f aca="false">IFERROR(INDEX(Inventory!$H$2:$H$381,MATCH($B184,Inventory!$P$2:$P$381,0)),"")</f>
        <v/>
      </c>
      <c r="G184" s="11" t="str">
        <f aca="false">IFERROR(INDEX(Inventory!$I$2:$I$381,MATCH($B184,Inventory!$P$2:$P$381,0)),"")</f>
        <v/>
      </c>
      <c r="H184" s="19" t="str">
        <f aca="false">IF($C184="","",IF($F184="","count it",MAX(0,$G184-$F184)))</f>
        <v/>
      </c>
      <c r="I184" s="11" t="str">
        <f aca="false">IFERROR(INDEX(Inventory!$J$2:$J$381,MATCH($B184,Inventory!$P$2:$P$381,0)),"")</f>
        <v/>
      </c>
    </row>
    <row r="185" customFormat="false" ht="15" hidden="false" customHeight="false" outlineLevel="0" collapsed="false">
      <c r="B185" s="5" t="n">
        <v>180</v>
      </c>
      <c r="C185" s="10" t="str">
        <f aca="false">IFERROR(INDEX(Inventory!$B$2:$B$381,MATCH($B185,Inventory!$P$2:$P$381,0)),"")</f>
        <v/>
      </c>
      <c r="D185" s="10" t="str">
        <f aca="false">IFERROR(INDEX(Inventory!$C$2:$C$381,MATCH($B185,Inventory!$P$2:$P$381,0)),"")</f>
        <v/>
      </c>
      <c r="E185" s="18" t="str">
        <f aca="false">IFERROR(INDEX(Inventory!$E$2:$E$381,MATCH($B185,Inventory!$P$2:$P$381,0)),"")</f>
        <v/>
      </c>
      <c r="F185" s="11" t="str">
        <f aca="false">IFERROR(INDEX(Inventory!$H$2:$H$381,MATCH($B185,Inventory!$P$2:$P$381,0)),"")</f>
        <v/>
      </c>
      <c r="G185" s="11" t="str">
        <f aca="false">IFERROR(INDEX(Inventory!$I$2:$I$381,MATCH($B185,Inventory!$P$2:$P$381,0)),"")</f>
        <v/>
      </c>
      <c r="H185" s="19" t="str">
        <f aca="false">IF($C185="","",IF($F185="","count it",MAX(0,$G185-$F185)))</f>
        <v/>
      </c>
      <c r="I185" s="11" t="str">
        <f aca="false">IFERROR(INDEX(Inventory!$J$2:$J$381,MATCH($B185,Inventory!$P$2:$P$381,0)),"")</f>
        <v/>
      </c>
    </row>
    <row r="186" customFormat="false" ht="15" hidden="false" customHeight="false" outlineLevel="0" collapsed="false">
      <c r="B186" s="5" t="n">
        <v>181</v>
      </c>
      <c r="C186" s="10" t="str">
        <f aca="false">IFERROR(INDEX(Inventory!$B$2:$B$381,MATCH($B186,Inventory!$P$2:$P$381,0)),"")</f>
        <v/>
      </c>
      <c r="D186" s="10" t="str">
        <f aca="false">IFERROR(INDEX(Inventory!$C$2:$C$381,MATCH($B186,Inventory!$P$2:$P$381,0)),"")</f>
        <v/>
      </c>
      <c r="E186" s="18" t="str">
        <f aca="false">IFERROR(INDEX(Inventory!$E$2:$E$381,MATCH($B186,Inventory!$P$2:$P$381,0)),"")</f>
        <v/>
      </c>
      <c r="F186" s="11" t="str">
        <f aca="false">IFERROR(INDEX(Inventory!$H$2:$H$381,MATCH($B186,Inventory!$P$2:$P$381,0)),"")</f>
        <v/>
      </c>
      <c r="G186" s="11" t="str">
        <f aca="false">IFERROR(INDEX(Inventory!$I$2:$I$381,MATCH($B186,Inventory!$P$2:$P$381,0)),"")</f>
        <v/>
      </c>
      <c r="H186" s="19" t="str">
        <f aca="false">IF($C186="","",IF($F186="","count it",MAX(0,$G186-$F186)))</f>
        <v/>
      </c>
      <c r="I186" s="11" t="str">
        <f aca="false">IFERROR(INDEX(Inventory!$J$2:$J$381,MATCH($B186,Inventory!$P$2:$P$381,0)),"")</f>
        <v/>
      </c>
    </row>
    <row r="187" customFormat="false" ht="15" hidden="false" customHeight="false" outlineLevel="0" collapsed="false">
      <c r="B187" s="5" t="n">
        <v>182</v>
      </c>
      <c r="C187" s="10" t="str">
        <f aca="false">IFERROR(INDEX(Inventory!$B$2:$B$381,MATCH($B187,Inventory!$P$2:$P$381,0)),"")</f>
        <v/>
      </c>
      <c r="D187" s="10" t="str">
        <f aca="false">IFERROR(INDEX(Inventory!$C$2:$C$381,MATCH($B187,Inventory!$P$2:$P$381,0)),"")</f>
        <v/>
      </c>
      <c r="E187" s="18" t="str">
        <f aca="false">IFERROR(INDEX(Inventory!$E$2:$E$381,MATCH($B187,Inventory!$P$2:$P$381,0)),"")</f>
        <v/>
      </c>
      <c r="F187" s="11" t="str">
        <f aca="false">IFERROR(INDEX(Inventory!$H$2:$H$381,MATCH($B187,Inventory!$P$2:$P$381,0)),"")</f>
        <v/>
      </c>
      <c r="G187" s="11" t="str">
        <f aca="false">IFERROR(INDEX(Inventory!$I$2:$I$381,MATCH($B187,Inventory!$P$2:$P$381,0)),"")</f>
        <v/>
      </c>
      <c r="H187" s="19" t="str">
        <f aca="false">IF($C187="","",IF($F187="","count it",MAX(0,$G187-$F187)))</f>
        <v/>
      </c>
      <c r="I187" s="11" t="str">
        <f aca="false">IFERROR(INDEX(Inventory!$J$2:$J$381,MATCH($B187,Inventory!$P$2:$P$381,0)),"")</f>
        <v/>
      </c>
    </row>
    <row r="188" customFormat="false" ht="15" hidden="false" customHeight="false" outlineLevel="0" collapsed="false">
      <c r="B188" s="5" t="n">
        <v>183</v>
      </c>
      <c r="C188" s="10" t="str">
        <f aca="false">IFERROR(INDEX(Inventory!$B$2:$B$381,MATCH($B188,Inventory!$P$2:$P$381,0)),"")</f>
        <v/>
      </c>
      <c r="D188" s="10" t="str">
        <f aca="false">IFERROR(INDEX(Inventory!$C$2:$C$381,MATCH($B188,Inventory!$P$2:$P$381,0)),"")</f>
        <v/>
      </c>
      <c r="E188" s="18" t="str">
        <f aca="false">IFERROR(INDEX(Inventory!$E$2:$E$381,MATCH($B188,Inventory!$P$2:$P$381,0)),"")</f>
        <v/>
      </c>
      <c r="F188" s="11" t="str">
        <f aca="false">IFERROR(INDEX(Inventory!$H$2:$H$381,MATCH($B188,Inventory!$P$2:$P$381,0)),"")</f>
        <v/>
      </c>
      <c r="G188" s="11" t="str">
        <f aca="false">IFERROR(INDEX(Inventory!$I$2:$I$381,MATCH($B188,Inventory!$P$2:$P$381,0)),"")</f>
        <v/>
      </c>
      <c r="H188" s="19" t="str">
        <f aca="false">IF($C188="","",IF($F188="","count it",MAX(0,$G188-$F188)))</f>
        <v/>
      </c>
      <c r="I188" s="11" t="str">
        <f aca="false">IFERROR(INDEX(Inventory!$J$2:$J$381,MATCH($B188,Inventory!$P$2:$P$381,0)),"")</f>
        <v/>
      </c>
    </row>
    <row r="189" customFormat="false" ht="15" hidden="false" customHeight="false" outlineLevel="0" collapsed="false">
      <c r="B189" s="5" t="n">
        <v>184</v>
      </c>
      <c r="C189" s="10" t="str">
        <f aca="false">IFERROR(INDEX(Inventory!$B$2:$B$381,MATCH($B189,Inventory!$P$2:$P$381,0)),"")</f>
        <v/>
      </c>
      <c r="D189" s="10" t="str">
        <f aca="false">IFERROR(INDEX(Inventory!$C$2:$C$381,MATCH($B189,Inventory!$P$2:$P$381,0)),"")</f>
        <v/>
      </c>
      <c r="E189" s="18" t="str">
        <f aca="false">IFERROR(INDEX(Inventory!$E$2:$E$381,MATCH($B189,Inventory!$P$2:$P$381,0)),"")</f>
        <v/>
      </c>
      <c r="F189" s="11" t="str">
        <f aca="false">IFERROR(INDEX(Inventory!$H$2:$H$381,MATCH($B189,Inventory!$P$2:$P$381,0)),"")</f>
        <v/>
      </c>
      <c r="G189" s="11" t="str">
        <f aca="false">IFERROR(INDEX(Inventory!$I$2:$I$381,MATCH($B189,Inventory!$P$2:$P$381,0)),"")</f>
        <v/>
      </c>
      <c r="H189" s="19" t="str">
        <f aca="false">IF($C189="","",IF($F189="","count it",MAX(0,$G189-$F189)))</f>
        <v/>
      </c>
      <c r="I189" s="11" t="str">
        <f aca="false">IFERROR(INDEX(Inventory!$J$2:$J$381,MATCH($B189,Inventory!$P$2:$P$381,0)),"")</f>
        <v/>
      </c>
    </row>
    <row r="190" customFormat="false" ht="15" hidden="false" customHeight="false" outlineLevel="0" collapsed="false">
      <c r="B190" s="5" t="n">
        <v>185</v>
      </c>
      <c r="C190" s="10" t="str">
        <f aca="false">IFERROR(INDEX(Inventory!$B$2:$B$381,MATCH($B190,Inventory!$P$2:$P$381,0)),"")</f>
        <v/>
      </c>
      <c r="D190" s="10" t="str">
        <f aca="false">IFERROR(INDEX(Inventory!$C$2:$C$381,MATCH($B190,Inventory!$P$2:$P$381,0)),"")</f>
        <v/>
      </c>
      <c r="E190" s="18" t="str">
        <f aca="false">IFERROR(INDEX(Inventory!$E$2:$E$381,MATCH($B190,Inventory!$P$2:$P$381,0)),"")</f>
        <v/>
      </c>
      <c r="F190" s="11" t="str">
        <f aca="false">IFERROR(INDEX(Inventory!$H$2:$H$381,MATCH($B190,Inventory!$P$2:$P$381,0)),"")</f>
        <v/>
      </c>
      <c r="G190" s="11" t="str">
        <f aca="false">IFERROR(INDEX(Inventory!$I$2:$I$381,MATCH($B190,Inventory!$P$2:$P$381,0)),"")</f>
        <v/>
      </c>
      <c r="H190" s="19" t="str">
        <f aca="false">IF($C190="","",IF($F190="","count it",MAX(0,$G190-$F190)))</f>
        <v/>
      </c>
      <c r="I190" s="11" t="str">
        <f aca="false">IFERROR(INDEX(Inventory!$J$2:$J$381,MATCH($B190,Inventory!$P$2:$P$381,0)),"")</f>
        <v/>
      </c>
    </row>
    <row r="191" customFormat="false" ht="15" hidden="false" customHeight="false" outlineLevel="0" collapsed="false">
      <c r="B191" s="5" t="n">
        <v>186</v>
      </c>
      <c r="C191" s="10" t="str">
        <f aca="false">IFERROR(INDEX(Inventory!$B$2:$B$381,MATCH($B191,Inventory!$P$2:$P$381,0)),"")</f>
        <v/>
      </c>
      <c r="D191" s="10" t="str">
        <f aca="false">IFERROR(INDEX(Inventory!$C$2:$C$381,MATCH($B191,Inventory!$P$2:$P$381,0)),"")</f>
        <v/>
      </c>
      <c r="E191" s="18" t="str">
        <f aca="false">IFERROR(INDEX(Inventory!$E$2:$E$381,MATCH($B191,Inventory!$P$2:$P$381,0)),"")</f>
        <v/>
      </c>
      <c r="F191" s="11" t="str">
        <f aca="false">IFERROR(INDEX(Inventory!$H$2:$H$381,MATCH($B191,Inventory!$P$2:$P$381,0)),"")</f>
        <v/>
      </c>
      <c r="G191" s="11" t="str">
        <f aca="false">IFERROR(INDEX(Inventory!$I$2:$I$381,MATCH($B191,Inventory!$P$2:$P$381,0)),"")</f>
        <v/>
      </c>
      <c r="H191" s="19" t="str">
        <f aca="false">IF($C191="","",IF($F191="","count it",MAX(0,$G191-$F191)))</f>
        <v/>
      </c>
      <c r="I191" s="11" t="str">
        <f aca="false">IFERROR(INDEX(Inventory!$J$2:$J$381,MATCH($B191,Inventory!$P$2:$P$381,0)),"")</f>
        <v/>
      </c>
    </row>
    <row r="192" customFormat="false" ht="15" hidden="false" customHeight="false" outlineLevel="0" collapsed="false">
      <c r="B192" s="5" t="n">
        <v>187</v>
      </c>
      <c r="C192" s="10" t="str">
        <f aca="false">IFERROR(INDEX(Inventory!$B$2:$B$381,MATCH($B192,Inventory!$P$2:$P$381,0)),"")</f>
        <v/>
      </c>
      <c r="D192" s="10" t="str">
        <f aca="false">IFERROR(INDEX(Inventory!$C$2:$C$381,MATCH($B192,Inventory!$P$2:$P$381,0)),"")</f>
        <v/>
      </c>
      <c r="E192" s="18" t="str">
        <f aca="false">IFERROR(INDEX(Inventory!$E$2:$E$381,MATCH($B192,Inventory!$P$2:$P$381,0)),"")</f>
        <v/>
      </c>
      <c r="F192" s="11" t="str">
        <f aca="false">IFERROR(INDEX(Inventory!$H$2:$H$381,MATCH($B192,Inventory!$P$2:$P$381,0)),"")</f>
        <v/>
      </c>
      <c r="G192" s="11" t="str">
        <f aca="false">IFERROR(INDEX(Inventory!$I$2:$I$381,MATCH($B192,Inventory!$P$2:$P$381,0)),"")</f>
        <v/>
      </c>
      <c r="H192" s="19" t="str">
        <f aca="false">IF($C192="","",IF($F192="","count it",MAX(0,$G192-$F192)))</f>
        <v/>
      </c>
      <c r="I192" s="11" t="str">
        <f aca="false">IFERROR(INDEX(Inventory!$J$2:$J$381,MATCH($B192,Inventory!$P$2:$P$381,0)),"")</f>
        <v/>
      </c>
    </row>
    <row r="193" customFormat="false" ht="15" hidden="false" customHeight="false" outlineLevel="0" collapsed="false">
      <c r="B193" s="5" t="n">
        <v>188</v>
      </c>
      <c r="C193" s="10" t="str">
        <f aca="false">IFERROR(INDEX(Inventory!$B$2:$B$381,MATCH($B193,Inventory!$P$2:$P$381,0)),"")</f>
        <v/>
      </c>
      <c r="D193" s="10" t="str">
        <f aca="false">IFERROR(INDEX(Inventory!$C$2:$C$381,MATCH($B193,Inventory!$P$2:$P$381,0)),"")</f>
        <v/>
      </c>
      <c r="E193" s="18" t="str">
        <f aca="false">IFERROR(INDEX(Inventory!$E$2:$E$381,MATCH($B193,Inventory!$P$2:$P$381,0)),"")</f>
        <v/>
      </c>
      <c r="F193" s="11" t="str">
        <f aca="false">IFERROR(INDEX(Inventory!$H$2:$H$381,MATCH($B193,Inventory!$P$2:$P$381,0)),"")</f>
        <v/>
      </c>
      <c r="G193" s="11" t="str">
        <f aca="false">IFERROR(INDEX(Inventory!$I$2:$I$381,MATCH($B193,Inventory!$P$2:$P$381,0)),"")</f>
        <v/>
      </c>
      <c r="H193" s="19" t="str">
        <f aca="false">IF($C193="","",IF($F193="","count it",MAX(0,$G193-$F193)))</f>
        <v/>
      </c>
      <c r="I193" s="11" t="str">
        <f aca="false">IFERROR(INDEX(Inventory!$J$2:$J$381,MATCH($B193,Inventory!$P$2:$P$381,0)),"")</f>
        <v/>
      </c>
    </row>
    <row r="194" customFormat="false" ht="15" hidden="false" customHeight="false" outlineLevel="0" collapsed="false">
      <c r="B194" s="5" t="n">
        <v>189</v>
      </c>
      <c r="C194" s="10" t="str">
        <f aca="false">IFERROR(INDEX(Inventory!$B$2:$B$381,MATCH($B194,Inventory!$P$2:$P$381,0)),"")</f>
        <v/>
      </c>
      <c r="D194" s="10" t="str">
        <f aca="false">IFERROR(INDEX(Inventory!$C$2:$C$381,MATCH($B194,Inventory!$P$2:$P$381,0)),"")</f>
        <v/>
      </c>
      <c r="E194" s="18" t="str">
        <f aca="false">IFERROR(INDEX(Inventory!$E$2:$E$381,MATCH($B194,Inventory!$P$2:$P$381,0)),"")</f>
        <v/>
      </c>
      <c r="F194" s="11" t="str">
        <f aca="false">IFERROR(INDEX(Inventory!$H$2:$H$381,MATCH($B194,Inventory!$P$2:$P$381,0)),"")</f>
        <v/>
      </c>
      <c r="G194" s="11" t="str">
        <f aca="false">IFERROR(INDEX(Inventory!$I$2:$I$381,MATCH($B194,Inventory!$P$2:$P$381,0)),"")</f>
        <v/>
      </c>
      <c r="H194" s="19" t="str">
        <f aca="false">IF($C194="","",IF($F194="","count it",MAX(0,$G194-$F194)))</f>
        <v/>
      </c>
      <c r="I194" s="11" t="str">
        <f aca="false">IFERROR(INDEX(Inventory!$J$2:$J$381,MATCH($B194,Inventory!$P$2:$P$381,0)),"")</f>
        <v/>
      </c>
    </row>
    <row r="195" customFormat="false" ht="15" hidden="false" customHeight="false" outlineLevel="0" collapsed="false">
      <c r="B195" s="5" t="n">
        <v>190</v>
      </c>
      <c r="C195" s="10" t="str">
        <f aca="false">IFERROR(INDEX(Inventory!$B$2:$B$381,MATCH($B195,Inventory!$P$2:$P$381,0)),"")</f>
        <v/>
      </c>
      <c r="D195" s="10" t="str">
        <f aca="false">IFERROR(INDEX(Inventory!$C$2:$C$381,MATCH($B195,Inventory!$P$2:$P$381,0)),"")</f>
        <v/>
      </c>
      <c r="E195" s="18" t="str">
        <f aca="false">IFERROR(INDEX(Inventory!$E$2:$E$381,MATCH($B195,Inventory!$P$2:$P$381,0)),"")</f>
        <v/>
      </c>
      <c r="F195" s="11" t="str">
        <f aca="false">IFERROR(INDEX(Inventory!$H$2:$H$381,MATCH($B195,Inventory!$P$2:$P$381,0)),"")</f>
        <v/>
      </c>
      <c r="G195" s="11" t="str">
        <f aca="false">IFERROR(INDEX(Inventory!$I$2:$I$381,MATCH($B195,Inventory!$P$2:$P$381,0)),"")</f>
        <v/>
      </c>
      <c r="H195" s="19" t="str">
        <f aca="false">IF($C195="","",IF($F195="","count it",MAX(0,$G195-$F195)))</f>
        <v/>
      </c>
      <c r="I195" s="11" t="str">
        <f aca="false">IFERROR(INDEX(Inventory!$J$2:$J$381,MATCH($B195,Inventory!$P$2:$P$381,0)),"")</f>
        <v/>
      </c>
    </row>
    <row r="196" customFormat="false" ht="15" hidden="false" customHeight="false" outlineLevel="0" collapsed="false">
      <c r="B196" s="5" t="n">
        <v>191</v>
      </c>
      <c r="C196" s="10" t="str">
        <f aca="false">IFERROR(INDEX(Inventory!$B$2:$B$381,MATCH($B196,Inventory!$P$2:$P$381,0)),"")</f>
        <v/>
      </c>
      <c r="D196" s="10" t="str">
        <f aca="false">IFERROR(INDEX(Inventory!$C$2:$C$381,MATCH($B196,Inventory!$P$2:$P$381,0)),"")</f>
        <v/>
      </c>
      <c r="E196" s="18" t="str">
        <f aca="false">IFERROR(INDEX(Inventory!$E$2:$E$381,MATCH($B196,Inventory!$P$2:$P$381,0)),"")</f>
        <v/>
      </c>
      <c r="F196" s="11" t="str">
        <f aca="false">IFERROR(INDEX(Inventory!$H$2:$H$381,MATCH($B196,Inventory!$P$2:$P$381,0)),"")</f>
        <v/>
      </c>
      <c r="G196" s="11" t="str">
        <f aca="false">IFERROR(INDEX(Inventory!$I$2:$I$381,MATCH($B196,Inventory!$P$2:$P$381,0)),"")</f>
        <v/>
      </c>
      <c r="H196" s="19" t="str">
        <f aca="false">IF($C196="","",IF($F196="","count it",MAX(0,$G196-$F196)))</f>
        <v/>
      </c>
      <c r="I196" s="11" t="str">
        <f aca="false">IFERROR(INDEX(Inventory!$J$2:$J$381,MATCH($B196,Inventory!$P$2:$P$381,0)),"")</f>
        <v/>
      </c>
    </row>
    <row r="197" customFormat="false" ht="15" hidden="false" customHeight="false" outlineLevel="0" collapsed="false">
      <c r="B197" s="5" t="n">
        <v>192</v>
      </c>
      <c r="C197" s="10" t="str">
        <f aca="false">IFERROR(INDEX(Inventory!$B$2:$B$381,MATCH($B197,Inventory!$P$2:$P$381,0)),"")</f>
        <v/>
      </c>
      <c r="D197" s="10" t="str">
        <f aca="false">IFERROR(INDEX(Inventory!$C$2:$C$381,MATCH($B197,Inventory!$P$2:$P$381,0)),"")</f>
        <v/>
      </c>
      <c r="E197" s="18" t="str">
        <f aca="false">IFERROR(INDEX(Inventory!$E$2:$E$381,MATCH($B197,Inventory!$P$2:$P$381,0)),"")</f>
        <v/>
      </c>
      <c r="F197" s="11" t="str">
        <f aca="false">IFERROR(INDEX(Inventory!$H$2:$H$381,MATCH($B197,Inventory!$P$2:$P$381,0)),"")</f>
        <v/>
      </c>
      <c r="G197" s="11" t="str">
        <f aca="false">IFERROR(INDEX(Inventory!$I$2:$I$381,MATCH($B197,Inventory!$P$2:$P$381,0)),"")</f>
        <v/>
      </c>
      <c r="H197" s="19" t="str">
        <f aca="false">IF($C197="","",IF($F197="","count it",MAX(0,$G197-$F197)))</f>
        <v/>
      </c>
      <c r="I197" s="11" t="str">
        <f aca="false">IFERROR(INDEX(Inventory!$J$2:$J$381,MATCH($B197,Inventory!$P$2:$P$381,0)),"")</f>
        <v/>
      </c>
    </row>
    <row r="198" customFormat="false" ht="15" hidden="false" customHeight="false" outlineLevel="0" collapsed="false">
      <c r="B198" s="5" t="n">
        <v>193</v>
      </c>
      <c r="C198" s="10" t="str">
        <f aca="false">IFERROR(INDEX(Inventory!$B$2:$B$381,MATCH($B198,Inventory!$P$2:$P$381,0)),"")</f>
        <v/>
      </c>
      <c r="D198" s="10" t="str">
        <f aca="false">IFERROR(INDEX(Inventory!$C$2:$C$381,MATCH($B198,Inventory!$P$2:$P$381,0)),"")</f>
        <v/>
      </c>
      <c r="E198" s="18" t="str">
        <f aca="false">IFERROR(INDEX(Inventory!$E$2:$E$381,MATCH($B198,Inventory!$P$2:$P$381,0)),"")</f>
        <v/>
      </c>
      <c r="F198" s="11" t="str">
        <f aca="false">IFERROR(INDEX(Inventory!$H$2:$H$381,MATCH($B198,Inventory!$P$2:$P$381,0)),"")</f>
        <v/>
      </c>
      <c r="G198" s="11" t="str">
        <f aca="false">IFERROR(INDEX(Inventory!$I$2:$I$381,MATCH($B198,Inventory!$P$2:$P$381,0)),"")</f>
        <v/>
      </c>
      <c r="H198" s="19" t="str">
        <f aca="false">IF($C198="","",IF($F198="","count it",MAX(0,$G198-$F198)))</f>
        <v/>
      </c>
      <c r="I198" s="11" t="str">
        <f aca="false">IFERROR(INDEX(Inventory!$J$2:$J$381,MATCH($B198,Inventory!$P$2:$P$381,0)),"")</f>
        <v/>
      </c>
    </row>
    <row r="199" customFormat="false" ht="15" hidden="false" customHeight="false" outlineLevel="0" collapsed="false">
      <c r="B199" s="5" t="n">
        <v>194</v>
      </c>
      <c r="C199" s="10" t="str">
        <f aca="false">IFERROR(INDEX(Inventory!$B$2:$B$381,MATCH($B199,Inventory!$P$2:$P$381,0)),"")</f>
        <v/>
      </c>
      <c r="D199" s="10" t="str">
        <f aca="false">IFERROR(INDEX(Inventory!$C$2:$C$381,MATCH($B199,Inventory!$P$2:$P$381,0)),"")</f>
        <v/>
      </c>
      <c r="E199" s="18" t="str">
        <f aca="false">IFERROR(INDEX(Inventory!$E$2:$E$381,MATCH($B199,Inventory!$P$2:$P$381,0)),"")</f>
        <v/>
      </c>
      <c r="F199" s="11" t="str">
        <f aca="false">IFERROR(INDEX(Inventory!$H$2:$H$381,MATCH($B199,Inventory!$P$2:$P$381,0)),"")</f>
        <v/>
      </c>
      <c r="G199" s="11" t="str">
        <f aca="false">IFERROR(INDEX(Inventory!$I$2:$I$381,MATCH($B199,Inventory!$P$2:$P$381,0)),"")</f>
        <v/>
      </c>
      <c r="H199" s="19" t="str">
        <f aca="false">IF($C199="","",IF($F199="","count it",MAX(0,$G199-$F199)))</f>
        <v/>
      </c>
      <c r="I199" s="11" t="str">
        <f aca="false">IFERROR(INDEX(Inventory!$J$2:$J$381,MATCH($B199,Inventory!$P$2:$P$381,0)),"")</f>
        <v/>
      </c>
    </row>
    <row r="200" customFormat="false" ht="15" hidden="false" customHeight="false" outlineLevel="0" collapsed="false">
      <c r="B200" s="5" t="n">
        <v>195</v>
      </c>
      <c r="C200" s="10" t="str">
        <f aca="false">IFERROR(INDEX(Inventory!$B$2:$B$381,MATCH($B200,Inventory!$P$2:$P$381,0)),"")</f>
        <v/>
      </c>
      <c r="D200" s="10" t="str">
        <f aca="false">IFERROR(INDEX(Inventory!$C$2:$C$381,MATCH($B200,Inventory!$P$2:$P$381,0)),"")</f>
        <v/>
      </c>
      <c r="E200" s="18" t="str">
        <f aca="false">IFERROR(INDEX(Inventory!$E$2:$E$381,MATCH($B200,Inventory!$P$2:$P$381,0)),"")</f>
        <v/>
      </c>
      <c r="F200" s="11" t="str">
        <f aca="false">IFERROR(INDEX(Inventory!$H$2:$H$381,MATCH($B200,Inventory!$P$2:$P$381,0)),"")</f>
        <v/>
      </c>
      <c r="G200" s="11" t="str">
        <f aca="false">IFERROR(INDEX(Inventory!$I$2:$I$381,MATCH($B200,Inventory!$P$2:$P$381,0)),"")</f>
        <v/>
      </c>
      <c r="H200" s="19" t="str">
        <f aca="false">IF($C200="","",IF($F200="","count it",MAX(0,$G200-$F200)))</f>
        <v/>
      </c>
      <c r="I200" s="11" t="str">
        <f aca="false">IFERROR(INDEX(Inventory!$J$2:$J$381,MATCH($B200,Inventory!$P$2:$P$381,0)),"")</f>
        <v/>
      </c>
    </row>
    <row r="201" customFormat="false" ht="15" hidden="false" customHeight="false" outlineLevel="0" collapsed="false">
      <c r="B201" s="5" t="n">
        <v>196</v>
      </c>
      <c r="C201" s="10" t="str">
        <f aca="false">IFERROR(INDEX(Inventory!$B$2:$B$381,MATCH($B201,Inventory!$P$2:$P$381,0)),"")</f>
        <v/>
      </c>
      <c r="D201" s="10" t="str">
        <f aca="false">IFERROR(INDEX(Inventory!$C$2:$C$381,MATCH($B201,Inventory!$P$2:$P$381,0)),"")</f>
        <v/>
      </c>
      <c r="E201" s="18" t="str">
        <f aca="false">IFERROR(INDEX(Inventory!$E$2:$E$381,MATCH($B201,Inventory!$P$2:$P$381,0)),"")</f>
        <v/>
      </c>
      <c r="F201" s="11" t="str">
        <f aca="false">IFERROR(INDEX(Inventory!$H$2:$H$381,MATCH($B201,Inventory!$P$2:$P$381,0)),"")</f>
        <v/>
      </c>
      <c r="G201" s="11" t="str">
        <f aca="false">IFERROR(INDEX(Inventory!$I$2:$I$381,MATCH($B201,Inventory!$P$2:$P$381,0)),"")</f>
        <v/>
      </c>
      <c r="H201" s="19" t="str">
        <f aca="false">IF($C201="","",IF($F201="","count it",MAX(0,$G201-$F201)))</f>
        <v/>
      </c>
      <c r="I201" s="11" t="str">
        <f aca="false">IFERROR(INDEX(Inventory!$J$2:$J$381,MATCH($B201,Inventory!$P$2:$P$381,0)),"")</f>
        <v/>
      </c>
    </row>
    <row r="202" customFormat="false" ht="15" hidden="false" customHeight="false" outlineLevel="0" collapsed="false">
      <c r="B202" s="5" t="n">
        <v>197</v>
      </c>
      <c r="C202" s="10" t="str">
        <f aca="false">IFERROR(INDEX(Inventory!$B$2:$B$381,MATCH($B202,Inventory!$P$2:$P$381,0)),"")</f>
        <v/>
      </c>
      <c r="D202" s="10" t="str">
        <f aca="false">IFERROR(INDEX(Inventory!$C$2:$C$381,MATCH($B202,Inventory!$P$2:$P$381,0)),"")</f>
        <v/>
      </c>
      <c r="E202" s="18" t="str">
        <f aca="false">IFERROR(INDEX(Inventory!$E$2:$E$381,MATCH($B202,Inventory!$P$2:$P$381,0)),"")</f>
        <v/>
      </c>
      <c r="F202" s="11" t="str">
        <f aca="false">IFERROR(INDEX(Inventory!$H$2:$H$381,MATCH($B202,Inventory!$P$2:$P$381,0)),"")</f>
        <v/>
      </c>
      <c r="G202" s="11" t="str">
        <f aca="false">IFERROR(INDEX(Inventory!$I$2:$I$381,MATCH($B202,Inventory!$P$2:$P$381,0)),"")</f>
        <v/>
      </c>
      <c r="H202" s="19" t="str">
        <f aca="false">IF($C202="","",IF($F202="","count it",MAX(0,$G202-$F202)))</f>
        <v/>
      </c>
      <c r="I202" s="11" t="str">
        <f aca="false">IFERROR(INDEX(Inventory!$J$2:$J$381,MATCH($B202,Inventory!$P$2:$P$381,0)),"")</f>
        <v/>
      </c>
    </row>
    <row r="203" customFormat="false" ht="15" hidden="false" customHeight="false" outlineLevel="0" collapsed="false">
      <c r="B203" s="5" t="n">
        <v>198</v>
      </c>
      <c r="C203" s="10" t="str">
        <f aca="false">IFERROR(INDEX(Inventory!$B$2:$B$381,MATCH($B203,Inventory!$P$2:$P$381,0)),"")</f>
        <v/>
      </c>
      <c r="D203" s="10" t="str">
        <f aca="false">IFERROR(INDEX(Inventory!$C$2:$C$381,MATCH($B203,Inventory!$P$2:$P$381,0)),"")</f>
        <v/>
      </c>
      <c r="E203" s="18" t="str">
        <f aca="false">IFERROR(INDEX(Inventory!$E$2:$E$381,MATCH($B203,Inventory!$P$2:$P$381,0)),"")</f>
        <v/>
      </c>
      <c r="F203" s="11" t="str">
        <f aca="false">IFERROR(INDEX(Inventory!$H$2:$H$381,MATCH($B203,Inventory!$P$2:$P$381,0)),"")</f>
        <v/>
      </c>
      <c r="G203" s="11" t="str">
        <f aca="false">IFERROR(INDEX(Inventory!$I$2:$I$381,MATCH($B203,Inventory!$P$2:$P$381,0)),"")</f>
        <v/>
      </c>
      <c r="H203" s="19" t="str">
        <f aca="false">IF($C203="","",IF($F203="","count it",MAX(0,$G203-$F203)))</f>
        <v/>
      </c>
      <c r="I203" s="11" t="str">
        <f aca="false">IFERROR(INDEX(Inventory!$J$2:$J$381,MATCH($B203,Inventory!$P$2:$P$381,0)),"")</f>
        <v/>
      </c>
    </row>
    <row r="204" customFormat="false" ht="15" hidden="false" customHeight="false" outlineLevel="0" collapsed="false">
      <c r="B204" s="5" t="n">
        <v>199</v>
      </c>
      <c r="C204" s="10" t="str">
        <f aca="false">IFERROR(INDEX(Inventory!$B$2:$B$381,MATCH($B204,Inventory!$P$2:$P$381,0)),"")</f>
        <v/>
      </c>
      <c r="D204" s="10" t="str">
        <f aca="false">IFERROR(INDEX(Inventory!$C$2:$C$381,MATCH($B204,Inventory!$P$2:$P$381,0)),"")</f>
        <v/>
      </c>
      <c r="E204" s="18" t="str">
        <f aca="false">IFERROR(INDEX(Inventory!$E$2:$E$381,MATCH($B204,Inventory!$P$2:$P$381,0)),"")</f>
        <v/>
      </c>
      <c r="F204" s="11" t="str">
        <f aca="false">IFERROR(INDEX(Inventory!$H$2:$H$381,MATCH($B204,Inventory!$P$2:$P$381,0)),"")</f>
        <v/>
      </c>
      <c r="G204" s="11" t="str">
        <f aca="false">IFERROR(INDEX(Inventory!$I$2:$I$381,MATCH($B204,Inventory!$P$2:$P$381,0)),"")</f>
        <v/>
      </c>
      <c r="H204" s="19" t="str">
        <f aca="false">IF($C204="","",IF($F204="","count it",MAX(0,$G204-$F204)))</f>
        <v/>
      </c>
      <c r="I204" s="11" t="str">
        <f aca="false">IFERROR(INDEX(Inventory!$J$2:$J$381,MATCH($B204,Inventory!$P$2:$P$381,0)),"")</f>
        <v/>
      </c>
    </row>
    <row r="205" customFormat="false" ht="15" hidden="false" customHeight="false" outlineLevel="0" collapsed="false">
      <c r="B205" s="5" t="n">
        <v>200</v>
      </c>
      <c r="C205" s="10" t="str">
        <f aca="false">IFERROR(INDEX(Inventory!$B$2:$B$381,MATCH($B205,Inventory!$P$2:$P$381,0)),"")</f>
        <v/>
      </c>
      <c r="D205" s="10" t="str">
        <f aca="false">IFERROR(INDEX(Inventory!$C$2:$C$381,MATCH($B205,Inventory!$P$2:$P$381,0)),"")</f>
        <v/>
      </c>
      <c r="E205" s="18" t="str">
        <f aca="false">IFERROR(INDEX(Inventory!$E$2:$E$381,MATCH($B205,Inventory!$P$2:$P$381,0)),"")</f>
        <v/>
      </c>
      <c r="F205" s="11" t="str">
        <f aca="false">IFERROR(INDEX(Inventory!$H$2:$H$381,MATCH($B205,Inventory!$P$2:$P$381,0)),"")</f>
        <v/>
      </c>
      <c r="G205" s="11" t="str">
        <f aca="false">IFERROR(INDEX(Inventory!$I$2:$I$381,MATCH($B205,Inventory!$P$2:$P$381,0)),"")</f>
        <v/>
      </c>
      <c r="H205" s="19" t="str">
        <f aca="false">IF($C205="","",IF($F205="","count it",MAX(0,$G205-$F205)))</f>
        <v/>
      </c>
      <c r="I205" s="11" t="str">
        <f aca="false">IFERROR(INDEX(Inventory!$J$2:$J$381,MATCH($B205,Inventory!$P$2:$P$381,0)),"")</f>
        <v/>
      </c>
    </row>
  </sheetData>
  <mergeCells count="1">
    <mergeCell ref="B2:H2"/>
  </mergeCells>
  <conditionalFormatting sqref="C6:I205">
    <cfRule type="expression" priority="2" aboveAverage="0" equalAverage="0" bottom="0" percent="0" rank="0" text="" dxfId="0">
      <formula>$I6="Low stock"</formula>
    </cfRule>
    <cfRule type="expression" priority="3" aboveAverage="0" equalAverage="0" bottom="0" percent="0" rank="0" text="" dxfId="2">
      <formula>$I6="Out of stock"</formula>
    </cfRule>
    <cfRule type="expression" priority="4" aboveAverage="0" equalAverage="0" bottom="0" percent="0" rank="0" text="" dxfId="3">
      <formula>$I6="Not counted"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20" t="s">
        <v>91</v>
      </c>
      <c r="B1" s="20" t="s">
        <v>92</v>
      </c>
      <c r="C1" s="20" t="s">
        <v>82</v>
      </c>
      <c r="D1" s="20" t="s">
        <v>88</v>
      </c>
      <c r="E1" s="20" t="s">
        <v>93</v>
      </c>
      <c r="F1" s="20" t="s">
        <v>94</v>
      </c>
      <c r="G1" s="20" t="s">
        <v>95</v>
      </c>
      <c r="H1" s="20" t="s">
        <v>96</v>
      </c>
      <c r="I1" s="20" t="s">
        <v>97</v>
      </c>
      <c r="J1" s="20" t="s">
        <v>85</v>
      </c>
    </row>
    <row r="2" customFormat="false" ht="15" hidden="false" customHeight="false" outlineLevel="0" collapsed="false">
      <c r="A2" s="21" t="s">
        <v>98</v>
      </c>
      <c r="B2" s="21" t="s">
        <v>99</v>
      </c>
      <c r="C2" s="10" t="str">
        <f aca="false">IF($B2="","",IFERROR(INDEX(Inventory!$B$2:$B$381,MATCH($B2,Inventory!$A$2:$A$381,0)),"unknown ID"))</f>
        <v>1K Ω Resistor+</v>
      </c>
      <c r="D2" s="11" t="str">
        <f aca="false">IF($B2="","",IFERROR(INDEX(Inventory!$E$2:$E$381,MATCH($B2,Inventory!$A$2:$A$381,0)),""))</f>
        <v>A2</v>
      </c>
      <c r="E2" s="22" t="s">
        <v>100</v>
      </c>
      <c r="F2" s="22" t="s">
        <v>101</v>
      </c>
      <c r="G2" s="21" t="n">
        <v>10</v>
      </c>
      <c r="H2" s="21" t="s">
        <v>102</v>
      </c>
      <c r="I2" s="21" t="n">
        <v>10</v>
      </c>
      <c r="J2" s="11" t="str">
        <f aca="false">IF($B2="","",IF($H2="","Out","Returned"))</f>
        <v>Returned</v>
      </c>
    </row>
    <row r="3" customFormat="false" ht="15" hidden="false" customHeight="false" outlineLevel="0" collapsed="false">
      <c r="A3" s="23"/>
      <c r="B3" s="23"/>
      <c r="C3" s="10" t="str">
        <f aca="false">IF($B3="","",IFERROR(INDEX(Inventory!$B$2:$B$381,MATCH($B3,Inventory!$A$2:$A$381,0)),"unknown ID"))</f>
        <v/>
      </c>
      <c r="D3" s="11" t="str">
        <f aca="false">IF($B3="","",IFERROR(INDEX(Inventory!$E$2:$E$381,MATCH($B3,Inventory!$A$2:$A$381,0)),""))</f>
        <v/>
      </c>
      <c r="E3" s="24"/>
      <c r="F3" s="24"/>
      <c r="G3" s="23"/>
      <c r="H3" s="23"/>
      <c r="I3" s="23"/>
      <c r="J3" s="11" t="str">
        <f aca="false">IF($B3="","",IF($H3="","Out","Returned"))</f>
        <v/>
      </c>
    </row>
    <row r="4" customFormat="false" ht="15" hidden="false" customHeight="false" outlineLevel="0" collapsed="false">
      <c r="A4" s="23"/>
      <c r="B4" s="23"/>
      <c r="C4" s="10" t="str">
        <f aca="false">IF($B4="","",IFERROR(INDEX(Inventory!$B$2:$B$381,MATCH($B4,Inventory!$A$2:$A$381,0)),"unknown ID"))</f>
        <v/>
      </c>
      <c r="D4" s="11" t="str">
        <f aca="false">IF($B4="","",IFERROR(INDEX(Inventory!$E$2:$E$381,MATCH($B4,Inventory!$A$2:$A$381,0)),""))</f>
        <v/>
      </c>
      <c r="E4" s="24"/>
      <c r="F4" s="24"/>
      <c r="G4" s="23"/>
      <c r="H4" s="23"/>
      <c r="I4" s="23"/>
      <c r="J4" s="11" t="str">
        <f aca="false">IF($B4="","",IF($H4="","Out","Returned"))</f>
        <v/>
      </c>
    </row>
    <row r="5" customFormat="false" ht="15" hidden="false" customHeight="false" outlineLevel="0" collapsed="false">
      <c r="A5" s="23"/>
      <c r="B5" s="23"/>
      <c r="C5" s="10" t="str">
        <f aca="false">IF($B5="","",IFERROR(INDEX(Inventory!$B$2:$B$381,MATCH($B5,Inventory!$A$2:$A$381,0)),"unknown ID"))</f>
        <v/>
      </c>
      <c r="D5" s="11" t="str">
        <f aca="false">IF($B5="","",IFERROR(INDEX(Inventory!$E$2:$E$381,MATCH($B5,Inventory!$A$2:$A$381,0)),""))</f>
        <v/>
      </c>
      <c r="E5" s="24"/>
      <c r="F5" s="24"/>
      <c r="G5" s="23"/>
      <c r="H5" s="23"/>
      <c r="I5" s="23"/>
      <c r="J5" s="11" t="str">
        <f aca="false">IF($B5="","",IF($H5="","Out","Returned"))</f>
        <v/>
      </c>
    </row>
    <row r="6" customFormat="false" ht="15" hidden="false" customHeight="false" outlineLevel="0" collapsed="false">
      <c r="A6" s="23"/>
      <c r="B6" s="23"/>
      <c r="C6" s="10" t="str">
        <f aca="false">IF($B6="","",IFERROR(INDEX(Inventory!$B$2:$B$381,MATCH($B6,Inventory!$A$2:$A$381,0)),"unknown ID"))</f>
        <v/>
      </c>
      <c r="D6" s="11" t="str">
        <f aca="false">IF($B6="","",IFERROR(INDEX(Inventory!$E$2:$E$381,MATCH($B6,Inventory!$A$2:$A$381,0)),""))</f>
        <v/>
      </c>
      <c r="E6" s="24"/>
      <c r="F6" s="24"/>
      <c r="G6" s="23"/>
      <c r="H6" s="23"/>
      <c r="I6" s="23"/>
      <c r="J6" s="11" t="str">
        <f aca="false">IF($B6="","",IF($H6="","Out","Returned"))</f>
        <v/>
      </c>
    </row>
    <row r="7" customFormat="false" ht="15" hidden="false" customHeight="false" outlineLevel="0" collapsed="false">
      <c r="A7" s="23"/>
      <c r="B7" s="23"/>
      <c r="C7" s="10" t="str">
        <f aca="false">IF($B7="","",IFERROR(INDEX(Inventory!$B$2:$B$381,MATCH($B7,Inventory!$A$2:$A$381,0)),"unknown ID"))</f>
        <v/>
      </c>
      <c r="D7" s="11" t="str">
        <f aca="false">IF($B7="","",IFERROR(INDEX(Inventory!$E$2:$E$381,MATCH($B7,Inventory!$A$2:$A$381,0)),""))</f>
        <v/>
      </c>
      <c r="E7" s="24"/>
      <c r="F7" s="24"/>
      <c r="G7" s="23"/>
      <c r="H7" s="23"/>
      <c r="I7" s="23"/>
      <c r="J7" s="11" t="str">
        <f aca="false">IF($B7="","",IF($H7="","Out","Returned"))</f>
        <v/>
      </c>
    </row>
    <row r="8" customFormat="false" ht="15" hidden="false" customHeight="false" outlineLevel="0" collapsed="false">
      <c r="A8" s="23"/>
      <c r="B8" s="23"/>
      <c r="C8" s="10" t="str">
        <f aca="false">IF($B8="","",IFERROR(INDEX(Inventory!$B$2:$B$381,MATCH($B8,Inventory!$A$2:$A$381,0)),"unknown ID"))</f>
        <v/>
      </c>
      <c r="D8" s="11" t="str">
        <f aca="false">IF($B8="","",IFERROR(INDEX(Inventory!$E$2:$E$381,MATCH($B8,Inventory!$A$2:$A$381,0)),""))</f>
        <v/>
      </c>
      <c r="E8" s="24"/>
      <c r="F8" s="24"/>
      <c r="G8" s="23"/>
      <c r="H8" s="23"/>
      <c r="I8" s="23"/>
      <c r="J8" s="11" t="str">
        <f aca="false">IF($B8="","",IF($H8="","Out","Returned"))</f>
        <v/>
      </c>
    </row>
    <row r="9" customFormat="false" ht="15" hidden="false" customHeight="false" outlineLevel="0" collapsed="false">
      <c r="A9" s="23"/>
      <c r="B9" s="23"/>
      <c r="C9" s="10" t="str">
        <f aca="false">IF($B9="","",IFERROR(INDEX(Inventory!$B$2:$B$381,MATCH($B9,Inventory!$A$2:$A$381,0)),"unknown ID"))</f>
        <v/>
      </c>
      <c r="D9" s="11" t="str">
        <f aca="false">IF($B9="","",IFERROR(INDEX(Inventory!$E$2:$E$381,MATCH($B9,Inventory!$A$2:$A$381,0)),""))</f>
        <v/>
      </c>
      <c r="E9" s="24"/>
      <c r="F9" s="24"/>
      <c r="G9" s="23"/>
      <c r="H9" s="23"/>
      <c r="I9" s="23"/>
      <c r="J9" s="11" t="str">
        <f aca="false">IF($B9="","",IF($H9="","Out","Returned"))</f>
        <v/>
      </c>
    </row>
    <row r="10" customFormat="false" ht="15" hidden="false" customHeight="false" outlineLevel="0" collapsed="false">
      <c r="A10" s="23"/>
      <c r="B10" s="23"/>
      <c r="C10" s="10" t="str">
        <f aca="false">IF($B10="","",IFERROR(INDEX(Inventory!$B$2:$B$381,MATCH($B10,Inventory!$A$2:$A$381,0)),"unknown ID"))</f>
        <v/>
      </c>
      <c r="D10" s="11" t="str">
        <f aca="false">IF($B10="","",IFERROR(INDEX(Inventory!$E$2:$E$381,MATCH($B10,Inventory!$A$2:$A$381,0)),""))</f>
        <v/>
      </c>
      <c r="E10" s="24"/>
      <c r="F10" s="24"/>
      <c r="G10" s="23"/>
      <c r="H10" s="23"/>
      <c r="I10" s="23"/>
      <c r="J10" s="11" t="str">
        <f aca="false">IF($B10="","",IF($H10="","Out","Returned"))</f>
        <v/>
      </c>
    </row>
    <row r="11" customFormat="false" ht="15" hidden="false" customHeight="false" outlineLevel="0" collapsed="false">
      <c r="A11" s="23"/>
      <c r="B11" s="23"/>
      <c r="C11" s="10" t="str">
        <f aca="false">IF($B11="","",IFERROR(INDEX(Inventory!$B$2:$B$381,MATCH($B11,Inventory!$A$2:$A$381,0)),"unknown ID"))</f>
        <v/>
      </c>
      <c r="D11" s="11" t="str">
        <f aca="false">IF($B11="","",IFERROR(INDEX(Inventory!$E$2:$E$381,MATCH($B11,Inventory!$A$2:$A$381,0)),""))</f>
        <v/>
      </c>
      <c r="E11" s="24"/>
      <c r="F11" s="24"/>
      <c r="G11" s="23"/>
      <c r="H11" s="23"/>
      <c r="I11" s="23"/>
      <c r="J11" s="11" t="str">
        <f aca="false">IF($B11="","",IF($H11="","Out","Returned"))</f>
        <v/>
      </c>
    </row>
    <row r="12" customFormat="false" ht="15" hidden="false" customHeight="false" outlineLevel="0" collapsed="false">
      <c r="A12" s="23"/>
      <c r="B12" s="23"/>
      <c r="C12" s="10" t="str">
        <f aca="false">IF($B12="","",IFERROR(INDEX(Inventory!$B$2:$B$381,MATCH($B12,Inventory!$A$2:$A$381,0)),"unknown ID"))</f>
        <v/>
      </c>
      <c r="D12" s="11" t="str">
        <f aca="false">IF($B12="","",IFERROR(INDEX(Inventory!$E$2:$E$381,MATCH($B12,Inventory!$A$2:$A$381,0)),""))</f>
        <v/>
      </c>
      <c r="E12" s="24"/>
      <c r="F12" s="24"/>
      <c r="G12" s="23"/>
      <c r="H12" s="23"/>
      <c r="I12" s="23"/>
      <c r="J12" s="11" t="str">
        <f aca="false">IF($B12="","",IF($H12="","Out","Returned"))</f>
        <v/>
      </c>
    </row>
    <row r="13" customFormat="false" ht="15" hidden="false" customHeight="false" outlineLevel="0" collapsed="false">
      <c r="A13" s="23"/>
      <c r="B13" s="23"/>
      <c r="C13" s="10" t="str">
        <f aca="false">IF($B13="","",IFERROR(INDEX(Inventory!$B$2:$B$381,MATCH($B13,Inventory!$A$2:$A$381,0)),"unknown ID"))</f>
        <v/>
      </c>
      <c r="D13" s="11" t="str">
        <f aca="false">IF($B13="","",IFERROR(INDEX(Inventory!$E$2:$E$381,MATCH($B13,Inventory!$A$2:$A$381,0)),""))</f>
        <v/>
      </c>
      <c r="E13" s="24"/>
      <c r="F13" s="24"/>
      <c r="G13" s="23"/>
      <c r="H13" s="23"/>
      <c r="I13" s="23"/>
      <c r="J13" s="11" t="str">
        <f aca="false">IF($B13="","",IF($H13="","Out","Returned"))</f>
        <v/>
      </c>
    </row>
    <row r="14" customFormat="false" ht="15" hidden="false" customHeight="false" outlineLevel="0" collapsed="false">
      <c r="A14" s="23"/>
      <c r="B14" s="23"/>
      <c r="C14" s="10" t="str">
        <f aca="false">IF($B14="","",IFERROR(INDEX(Inventory!$B$2:$B$381,MATCH($B14,Inventory!$A$2:$A$381,0)),"unknown ID"))</f>
        <v/>
      </c>
      <c r="D14" s="11" t="str">
        <f aca="false">IF($B14="","",IFERROR(INDEX(Inventory!$E$2:$E$381,MATCH($B14,Inventory!$A$2:$A$381,0)),""))</f>
        <v/>
      </c>
      <c r="E14" s="24"/>
      <c r="F14" s="24"/>
      <c r="G14" s="23"/>
      <c r="H14" s="23"/>
      <c r="I14" s="23"/>
      <c r="J14" s="11" t="str">
        <f aca="false">IF($B14="","",IF($H14="","Out","Returned"))</f>
        <v/>
      </c>
    </row>
    <row r="15" customFormat="false" ht="15" hidden="false" customHeight="false" outlineLevel="0" collapsed="false">
      <c r="A15" s="23"/>
      <c r="B15" s="23"/>
      <c r="C15" s="10" t="str">
        <f aca="false">IF($B15="","",IFERROR(INDEX(Inventory!$B$2:$B$381,MATCH($B15,Inventory!$A$2:$A$381,0)),"unknown ID"))</f>
        <v/>
      </c>
      <c r="D15" s="11" t="str">
        <f aca="false">IF($B15="","",IFERROR(INDEX(Inventory!$E$2:$E$381,MATCH($B15,Inventory!$A$2:$A$381,0)),""))</f>
        <v/>
      </c>
      <c r="E15" s="24"/>
      <c r="F15" s="24"/>
      <c r="G15" s="23"/>
      <c r="H15" s="23"/>
      <c r="I15" s="23"/>
      <c r="J15" s="11" t="str">
        <f aca="false">IF($B15="","",IF($H15="","Out","Returned"))</f>
        <v/>
      </c>
    </row>
    <row r="16" customFormat="false" ht="15" hidden="false" customHeight="false" outlineLevel="0" collapsed="false">
      <c r="A16" s="23"/>
      <c r="B16" s="23"/>
      <c r="C16" s="10" t="str">
        <f aca="false">IF($B16="","",IFERROR(INDEX(Inventory!$B$2:$B$381,MATCH($B16,Inventory!$A$2:$A$381,0)),"unknown ID"))</f>
        <v/>
      </c>
      <c r="D16" s="11" t="str">
        <f aca="false">IF($B16="","",IFERROR(INDEX(Inventory!$E$2:$E$381,MATCH($B16,Inventory!$A$2:$A$381,0)),""))</f>
        <v/>
      </c>
      <c r="E16" s="24"/>
      <c r="F16" s="24"/>
      <c r="G16" s="23"/>
      <c r="H16" s="23"/>
      <c r="I16" s="23"/>
      <c r="J16" s="11" t="str">
        <f aca="false">IF($B16="","",IF($H16="","Out","Returned"))</f>
        <v/>
      </c>
    </row>
    <row r="17" customFormat="false" ht="15" hidden="false" customHeight="false" outlineLevel="0" collapsed="false">
      <c r="A17" s="23"/>
      <c r="B17" s="23"/>
      <c r="C17" s="10" t="str">
        <f aca="false">IF($B17="","",IFERROR(INDEX(Inventory!$B$2:$B$381,MATCH($B17,Inventory!$A$2:$A$381,0)),"unknown ID"))</f>
        <v/>
      </c>
      <c r="D17" s="11" t="str">
        <f aca="false">IF($B17="","",IFERROR(INDEX(Inventory!$E$2:$E$381,MATCH($B17,Inventory!$A$2:$A$381,0)),""))</f>
        <v/>
      </c>
      <c r="E17" s="24"/>
      <c r="F17" s="24"/>
      <c r="G17" s="23"/>
      <c r="H17" s="23"/>
      <c r="I17" s="23"/>
      <c r="J17" s="11" t="str">
        <f aca="false">IF($B17="","",IF($H17="","Out","Returned"))</f>
        <v/>
      </c>
    </row>
    <row r="18" customFormat="false" ht="15" hidden="false" customHeight="false" outlineLevel="0" collapsed="false">
      <c r="A18" s="23"/>
      <c r="B18" s="23"/>
      <c r="C18" s="10" t="str">
        <f aca="false">IF($B18="","",IFERROR(INDEX(Inventory!$B$2:$B$381,MATCH($B18,Inventory!$A$2:$A$381,0)),"unknown ID"))</f>
        <v/>
      </c>
      <c r="D18" s="11" t="str">
        <f aca="false">IF($B18="","",IFERROR(INDEX(Inventory!$E$2:$E$381,MATCH($B18,Inventory!$A$2:$A$381,0)),""))</f>
        <v/>
      </c>
      <c r="E18" s="24"/>
      <c r="F18" s="24"/>
      <c r="G18" s="23"/>
      <c r="H18" s="23"/>
      <c r="I18" s="23"/>
      <c r="J18" s="11" t="str">
        <f aca="false">IF($B18="","",IF($H18="","Out","Returned"))</f>
        <v/>
      </c>
    </row>
    <row r="19" customFormat="false" ht="15" hidden="false" customHeight="false" outlineLevel="0" collapsed="false">
      <c r="A19" s="23"/>
      <c r="B19" s="23"/>
      <c r="C19" s="10" t="str">
        <f aca="false">IF($B19="","",IFERROR(INDEX(Inventory!$B$2:$B$381,MATCH($B19,Inventory!$A$2:$A$381,0)),"unknown ID"))</f>
        <v/>
      </c>
      <c r="D19" s="11" t="str">
        <f aca="false">IF($B19="","",IFERROR(INDEX(Inventory!$E$2:$E$381,MATCH($B19,Inventory!$A$2:$A$381,0)),""))</f>
        <v/>
      </c>
      <c r="E19" s="24"/>
      <c r="F19" s="24"/>
      <c r="G19" s="23"/>
      <c r="H19" s="23"/>
      <c r="I19" s="23"/>
      <c r="J19" s="11" t="str">
        <f aca="false">IF($B19="","",IF($H19="","Out","Returned"))</f>
        <v/>
      </c>
    </row>
    <row r="20" customFormat="false" ht="15" hidden="false" customHeight="false" outlineLevel="0" collapsed="false">
      <c r="A20" s="23"/>
      <c r="B20" s="23"/>
      <c r="C20" s="10" t="str">
        <f aca="false">IF($B20="","",IFERROR(INDEX(Inventory!$B$2:$B$381,MATCH($B20,Inventory!$A$2:$A$381,0)),"unknown ID"))</f>
        <v/>
      </c>
      <c r="D20" s="11" t="str">
        <f aca="false">IF($B20="","",IFERROR(INDEX(Inventory!$E$2:$E$381,MATCH($B20,Inventory!$A$2:$A$381,0)),""))</f>
        <v/>
      </c>
      <c r="E20" s="24"/>
      <c r="F20" s="24"/>
      <c r="G20" s="23"/>
      <c r="H20" s="23"/>
      <c r="I20" s="23"/>
      <c r="J20" s="11" t="str">
        <f aca="false">IF($B20="","",IF($H20="","Out","Returned"))</f>
        <v/>
      </c>
    </row>
    <row r="21" customFormat="false" ht="15" hidden="false" customHeight="false" outlineLevel="0" collapsed="false">
      <c r="A21" s="23"/>
      <c r="B21" s="23"/>
      <c r="C21" s="10" t="str">
        <f aca="false">IF($B21="","",IFERROR(INDEX(Inventory!$B$2:$B$381,MATCH($B21,Inventory!$A$2:$A$381,0)),"unknown ID"))</f>
        <v/>
      </c>
      <c r="D21" s="11" t="str">
        <f aca="false">IF($B21="","",IFERROR(INDEX(Inventory!$E$2:$E$381,MATCH($B21,Inventory!$A$2:$A$381,0)),""))</f>
        <v/>
      </c>
      <c r="E21" s="24"/>
      <c r="F21" s="24"/>
      <c r="G21" s="23"/>
      <c r="H21" s="23"/>
      <c r="I21" s="23"/>
      <c r="J21" s="11" t="str">
        <f aca="false">IF($B21="","",IF($H21="","Out","Returned"))</f>
        <v/>
      </c>
    </row>
    <row r="22" customFormat="false" ht="15" hidden="false" customHeight="false" outlineLevel="0" collapsed="false">
      <c r="A22" s="23"/>
      <c r="B22" s="23"/>
      <c r="C22" s="10" t="str">
        <f aca="false">IF($B22="","",IFERROR(INDEX(Inventory!$B$2:$B$381,MATCH($B22,Inventory!$A$2:$A$381,0)),"unknown ID"))</f>
        <v/>
      </c>
      <c r="D22" s="11" t="str">
        <f aca="false">IF($B22="","",IFERROR(INDEX(Inventory!$E$2:$E$381,MATCH($B22,Inventory!$A$2:$A$381,0)),""))</f>
        <v/>
      </c>
      <c r="E22" s="24"/>
      <c r="F22" s="24"/>
      <c r="G22" s="23"/>
      <c r="H22" s="23"/>
      <c r="I22" s="23"/>
      <c r="J22" s="11" t="str">
        <f aca="false">IF($B22="","",IF($H22="","Out","Returned"))</f>
        <v/>
      </c>
    </row>
    <row r="23" customFormat="false" ht="15" hidden="false" customHeight="false" outlineLevel="0" collapsed="false">
      <c r="A23" s="23"/>
      <c r="B23" s="23"/>
      <c r="C23" s="10" t="str">
        <f aca="false">IF($B23="","",IFERROR(INDEX(Inventory!$B$2:$B$381,MATCH($B23,Inventory!$A$2:$A$381,0)),"unknown ID"))</f>
        <v/>
      </c>
      <c r="D23" s="11" t="str">
        <f aca="false">IF($B23="","",IFERROR(INDEX(Inventory!$E$2:$E$381,MATCH($B23,Inventory!$A$2:$A$381,0)),""))</f>
        <v/>
      </c>
      <c r="E23" s="24"/>
      <c r="F23" s="24"/>
      <c r="G23" s="23"/>
      <c r="H23" s="23"/>
      <c r="I23" s="23"/>
      <c r="J23" s="11" t="str">
        <f aca="false">IF($B23="","",IF($H23="","Out","Returned"))</f>
        <v/>
      </c>
    </row>
    <row r="24" customFormat="false" ht="15" hidden="false" customHeight="false" outlineLevel="0" collapsed="false">
      <c r="A24" s="23"/>
      <c r="B24" s="23"/>
      <c r="C24" s="10" t="str">
        <f aca="false">IF($B24="","",IFERROR(INDEX(Inventory!$B$2:$B$381,MATCH($B24,Inventory!$A$2:$A$381,0)),"unknown ID"))</f>
        <v/>
      </c>
      <c r="D24" s="11" t="str">
        <f aca="false">IF($B24="","",IFERROR(INDEX(Inventory!$E$2:$E$381,MATCH($B24,Inventory!$A$2:$A$381,0)),""))</f>
        <v/>
      </c>
      <c r="E24" s="24"/>
      <c r="F24" s="24"/>
      <c r="G24" s="23"/>
      <c r="H24" s="23"/>
      <c r="I24" s="23"/>
      <c r="J24" s="11" t="str">
        <f aca="false">IF($B24="","",IF($H24="","Out","Returned"))</f>
        <v/>
      </c>
    </row>
    <row r="25" customFormat="false" ht="15" hidden="false" customHeight="false" outlineLevel="0" collapsed="false">
      <c r="A25" s="23"/>
      <c r="B25" s="23"/>
      <c r="C25" s="10" t="str">
        <f aca="false">IF($B25="","",IFERROR(INDEX(Inventory!$B$2:$B$381,MATCH($B25,Inventory!$A$2:$A$381,0)),"unknown ID"))</f>
        <v/>
      </c>
      <c r="D25" s="11" t="str">
        <f aca="false">IF($B25="","",IFERROR(INDEX(Inventory!$E$2:$E$381,MATCH($B25,Inventory!$A$2:$A$381,0)),""))</f>
        <v/>
      </c>
      <c r="E25" s="24"/>
      <c r="F25" s="24"/>
      <c r="G25" s="23"/>
      <c r="H25" s="23"/>
      <c r="I25" s="23"/>
      <c r="J25" s="11" t="str">
        <f aca="false">IF($B25="","",IF($H25="","Out","Returned"))</f>
        <v/>
      </c>
    </row>
    <row r="26" customFormat="false" ht="15" hidden="false" customHeight="false" outlineLevel="0" collapsed="false">
      <c r="A26" s="23"/>
      <c r="B26" s="23"/>
      <c r="C26" s="10" t="str">
        <f aca="false">IF($B26="","",IFERROR(INDEX(Inventory!$B$2:$B$381,MATCH($B26,Inventory!$A$2:$A$381,0)),"unknown ID"))</f>
        <v/>
      </c>
      <c r="D26" s="11" t="str">
        <f aca="false">IF($B26="","",IFERROR(INDEX(Inventory!$E$2:$E$381,MATCH($B26,Inventory!$A$2:$A$381,0)),""))</f>
        <v/>
      </c>
      <c r="E26" s="24"/>
      <c r="F26" s="24"/>
      <c r="G26" s="23"/>
      <c r="H26" s="23"/>
      <c r="I26" s="23"/>
      <c r="J26" s="11" t="str">
        <f aca="false">IF($B26="","",IF($H26="","Out","Returned"))</f>
        <v/>
      </c>
    </row>
    <row r="27" customFormat="false" ht="15" hidden="false" customHeight="false" outlineLevel="0" collapsed="false">
      <c r="A27" s="23"/>
      <c r="B27" s="23"/>
      <c r="C27" s="10" t="str">
        <f aca="false">IF($B27="","",IFERROR(INDEX(Inventory!$B$2:$B$381,MATCH($B27,Inventory!$A$2:$A$381,0)),"unknown ID"))</f>
        <v/>
      </c>
      <c r="D27" s="11" t="str">
        <f aca="false">IF($B27="","",IFERROR(INDEX(Inventory!$E$2:$E$381,MATCH($B27,Inventory!$A$2:$A$381,0)),""))</f>
        <v/>
      </c>
      <c r="E27" s="24"/>
      <c r="F27" s="24"/>
      <c r="G27" s="23"/>
      <c r="H27" s="23"/>
      <c r="I27" s="23"/>
      <c r="J27" s="11" t="str">
        <f aca="false">IF($B27="","",IF($H27="","Out","Returned"))</f>
        <v/>
      </c>
    </row>
    <row r="28" customFormat="false" ht="15" hidden="false" customHeight="false" outlineLevel="0" collapsed="false">
      <c r="A28" s="23"/>
      <c r="B28" s="23"/>
      <c r="C28" s="10" t="str">
        <f aca="false">IF($B28="","",IFERROR(INDEX(Inventory!$B$2:$B$381,MATCH($B28,Inventory!$A$2:$A$381,0)),"unknown ID"))</f>
        <v/>
      </c>
      <c r="D28" s="11" t="str">
        <f aca="false">IF($B28="","",IFERROR(INDEX(Inventory!$E$2:$E$381,MATCH($B28,Inventory!$A$2:$A$381,0)),""))</f>
        <v/>
      </c>
      <c r="E28" s="24"/>
      <c r="F28" s="24"/>
      <c r="G28" s="23"/>
      <c r="H28" s="23"/>
      <c r="I28" s="23"/>
      <c r="J28" s="11" t="str">
        <f aca="false">IF($B28="","",IF($H28="","Out","Returned"))</f>
        <v/>
      </c>
    </row>
    <row r="29" customFormat="false" ht="15" hidden="false" customHeight="false" outlineLevel="0" collapsed="false">
      <c r="A29" s="23"/>
      <c r="B29" s="23"/>
      <c r="C29" s="10" t="str">
        <f aca="false">IF($B29="","",IFERROR(INDEX(Inventory!$B$2:$B$381,MATCH($B29,Inventory!$A$2:$A$381,0)),"unknown ID"))</f>
        <v/>
      </c>
      <c r="D29" s="11" t="str">
        <f aca="false">IF($B29="","",IFERROR(INDEX(Inventory!$E$2:$E$381,MATCH($B29,Inventory!$A$2:$A$381,0)),""))</f>
        <v/>
      </c>
      <c r="E29" s="24"/>
      <c r="F29" s="24"/>
      <c r="G29" s="23"/>
      <c r="H29" s="23"/>
      <c r="I29" s="23"/>
      <c r="J29" s="11" t="str">
        <f aca="false">IF($B29="","",IF($H29="","Out","Returned"))</f>
        <v/>
      </c>
    </row>
    <row r="30" customFormat="false" ht="15" hidden="false" customHeight="false" outlineLevel="0" collapsed="false">
      <c r="A30" s="23"/>
      <c r="B30" s="23"/>
      <c r="C30" s="10" t="str">
        <f aca="false">IF($B30="","",IFERROR(INDEX(Inventory!$B$2:$B$381,MATCH($B30,Inventory!$A$2:$A$381,0)),"unknown ID"))</f>
        <v/>
      </c>
      <c r="D30" s="11" t="str">
        <f aca="false">IF($B30="","",IFERROR(INDEX(Inventory!$E$2:$E$381,MATCH($B30,Inventory!$A$2:$A$381,0)),""))</f>
        <v/>
      </c>
      <c r="E30" s="24"/>
      <c r="F30" s="24"/>
      <c r="G30" s="23"/>
      <c r="H30" s="23"/>
      <c r="I30" s="23"/>
      <c r="J30" s="11" t="str">
        <f aca="false">IF($B30="","",IF($H30="","Out","Returned"))</f>
        <v/>
      </c>
    </row>
    <row r="31" customFormat="false" ht="15" hidden="false" customHeight="false" outlineLevel="0" collapsed="false">
      <c r="A31" s="23"/>
      <c r="B31" s="23"/>
      <c r="C31" s="10" t="str">
        <f aca="false">IF($B31="","",IFERROR(INDEX(Inventory!$B$2:$B$381,MATCH($B31,Inventory!$A$2:$A$381,0)),"unknown ID"))</f>
        <v/>
      </c>
      <c r="D31" s="11" t="str">
        <f aca="false">IF($B31="","",IFERROR(INDEX(Inventory!$E$2:$E$381,MATCH($B31,Inventory!$A$2:$A$381,0)),""))</f>
        <v/>
      </c>
      <c r="E31" s="24"/>
      <c r="F31" s="24"/>
      <c r="G31" s="23"/>
      <c r="H31" s="23"/>
      <c r="I31" s="23"/>
      <c r="J31" s="11" t="str">
        <f aca="false">IF($B31="","",IF($H31="","Out","Returned"))</f>
        <v/>
      </c>
    </row>
    <row r="32" customFormat="false" ht="15" hidden="false" customHeight="false" outlineLevel="0" collapsed="false">
      <c r="A32" s="23"/>
      <c r="B32" s="23"/>
      <c r="C32" s="10" t="str">
        <f aca="false">IF($B32="","",IFERROR(INDEX(Inventory!$B$2:$B$381,MATCH($B32,Inventory!$A$2:$A$381,0)),"unknown ID"))</f>
        <v/>
      </c>
      <c r="D32" s="11" t="str">
        <f aca="false">IF($B32="","",IFERROR(INDEX(Inventory!$E$2:$E$381,MATCH($B32,Inventory!$A$2:$A$381,0)),""))</f>
        <v/>
      </c>
      <c r="E32" s="24"/>
      <c r="F32" s="24"/>
      <c r="G32" s="23"/>
      <c r="H32" s="23"/>
      <c r="I32" s="23"/>
      <c r="J32" s="11" t="str">
        <f aca="false">IF($B32="","",IF($H32="","Out","Returned"))</f>
        <v/>
      </c>
    </row>
    <row r="33" customFormat="false" ht="15" hidden="false" customHeight="false" outlineLevel="0" collapsed="false">
      <c r="A33" s="23"/>
      <c r="B33" s="23"/>
      <c r="C33" s="10" t="str">
        <f aca="false">IF($B33="","",IFERROR(INDEX(Inventory!$B$2:$B$381,MATCH($B33,Inventory!$A$2:$A$381,0)),"unknown ID"))</f>
        <v/>
      </c>
      <c r="D33" s="11" t="str">
        <f aca="false">IF($B33="","",IFERROR(INDEX(Inventory!$E$2:$E$381,MATCH($B33,Inventory!$A$2:$A$381,0)),""))</f>
        <v/>
      </c>
      <c r="E33" s="24"/>
      <c r="F33" s="24"/>
      <c r="G33" s="23"/>
      <c r="H33" s="23"/>
      <c r="I33" s="23"/>
      <c r="J33" s="11" t="str">
        <f aca="false">IF($B33="","",IF($H33="","Out","Returned"))</f>
        <v/>
      </c>
    </row>
    <row r="34" customFormat="false" ht="15" hidden="false" customHeight="false" outlineLevel="0" collapsed="false">
      <c r="A34" s="23"/>
      <c r="B34" s="23"/>
      <c r="C34" s="10" t="str">
        <f aca="false">IF($B34="","",IFERROR(INDEX(Inventory!$B$2:$B$381,MATCH($B34,Inventory!$A$2:$A$381,0)),"unknown ID"))</f>
        <v/>
      </c>
      <c r="D34" s="11" t="str">
        <f aca="false">IF($B34="","",IFERROR(INDEX(Inventory!$E$2:$E$381,MATCH($B34,Inventory!$A$2:$A$381,0)),""))</f>
        <v/>
      </c>
      <c r="E34" s="24"/>
      <c r="F34" s="24"/>
      <c r="G34" s="23"/>
      <c r="H34" s="23"/>
      <c r="I34" s="23"/>
      <c r="J34" s="11" t="str">
        <f aca="false">IF($B34="","",IF($H34="","Out","Returned"))</f>
        <v/>
      </c>
    </row>
    <row r="35" customFormat="false" ht="15" hidden="false" customHeight="false" outlineLevel="0" collapsed="false">
      <c r="A35" s="23"/>
      <c r="B35" s="23"/>
      <c r="C35" s="10" t="str">
        <f aca="false">IF($B35="","",IFERROR(INDEX(Inventory!$B$2:$B$381,MATCH($B35,Inventory!$A$2:$A$381,0)),"unknown ID"))</f>
        <v/>
      </c>
      <c r="D35" s="11" t="str">
        <f aca="false">IF($B35="","",IFERROR(INDEX(Inventory!$E$2:$E$381,MATCH($B35,Inventory!$A$2:$A$381,0)),""))</f>
        <v/>
      </c>
      <c r="E35" s="24"/>
      <c r="F35" s="24"/>
      <c r="G35" s="23"/>
      <c r="H35" s="23"/>
      <c r="I35" s="23"/>
      <c r="J35" s="11" t="str">
        <f aca="false">IF($B35="","",IF($H35="","Out","Returned"))</f>
        <v/>
      </c>
    </row>
    <row r="36" customFormat="false" ht="15" hidden="false" customHeight="false" outlineLevel="0" collapsed="false">
      <c r="A36" s="23"/>
      <c r="B36" s="23"/>
      <c r="C36" s="10" t="str">
        <f aca="false">IF($B36="","",IFERROR(INDEX(Inventory!$B$2:$B$381,MATCH($B36,Inventory!$A$2:$A$381,0)),"unknown ID"))</f>
        <v/>
      </c>
      <c r="D36" s="11" t="str">
        <f aca="false">IF($B36="","",IFERROR(INDEX(Inventory!$E$2:$E$381,MATCH($B36,Inventory!$A$2:$A$381,0)),""))</f>
        <v/>
      </c>
      <c r="E36" s="24"/>
      <c r="F36" s="24"/>
      <c r="G36" s="23"/>
      <c r="H36" s="23"/>
      <c r="I36" s="23"/>
      <c r="J36" s="11" t="str">
        <f aca="false">IF($B36="","",IF($H36="","Out","Returned"))</f>
        <v/>
      </c>
    </row>
    <row r="37" customFormat="false" ht="15" hidden="false" customHeight="false" outlineLevel="0" collapsed="false">
      <c r="A37" s="23"/>
      <c r="B37" s="23"/>
      <c r="C37" s="10" t="str">
        <f aca="false">IF($B37="","",IFERROR(INDEX(Inventory!$B$2:$B$381,MATCH($B37,Inventory!$A$2:$A$381,0)),"unknown ID"))</f>
        <v/>
      </c>
      <c r="D37" s="11" t="str">
        <f aca="false">IF($B37="","",IFERROR(INDEX(Inventory!$E$2:$E$381,MATCH($B37,Inventory!$A$2:$A$381,0)),""))</f>
        <v/>
      </c>
      <c r="E37" s="24"/>
      <c r="F37" s="24"/>
      <c r="G37" s="23"/>
      <c r="H37" s="23"/>
      <c r="I37" s="23"/>
      <c r="J37" s="11" t="str">
        <f aca="false">IF($B37="","",IF($H37="","Out","Returned"))</f>
        <v/>
      </c>
    </row>
    <row r="38" customFormat="false" ht="15" hidden="false" customHeight="false" outlineLevel="0" collapsed="false">
      <c r="A38" s="23"/>
      <c r="B38" s="23"/>
      <c r="C38" s="10" t="str">
        <f aca="false">IF($B38="","",IFERROR(INDEX(Inventory!$B$2:$B$381,MATCH($B38,Inventory!$A$2:$A$381,0)),"unknown ID"))</f>
        <v/>
      </c>
      <c r="D38" s="11" t="str">
        <f aca="false">IF($B38="","",IFERROR(INDEX(Inventory!$E$2:$E$381,MATCH($B38,Inventory!$A$2:$A$381,0)),""))</f>
        <v/>
      </c>
      <c r="E38" s="24"/>
      <c r="F38" s="24"/>
      <c r="G38" s="23"/>
      <c r="H38" s="23"/>
      <c r="I38" s="23"/>
      <c r="J38" s="11" t="str">
        <f aca="false">IF($B38="","",IF($H38="","Out","Returned"))</f>
        <v/>
      </c>
    </row>
    <row r="39" customFormat="false" ht="15" hidden="false" customHeight="false" outlineLevel="0" collapsed="false">
      <c r="A39" s="23"/>
      <c r="B39" s="23"/>
      <c r="C39" s="10" t="str">
        <f aca="false">IF($B39="","",IFERROR(INDEX(Inventory!$B$2:$B$381,MATCH($B39,Inventory!$A$2:$A$381,0)),"unknown ID"))</f>
        <v/>
      </c>
      <c r="D39" s="11" t="str">
        <f aca="false">IF($B39="","",IFERROR(INDEX(Inventory!$E$2:$E$381,MATCH($B39,Inventory!$A$2:$A$381,0)),""))</f>
        <v/>
      </c>
      <c r="E39" s="24"/>
      <c r="F39" s="24"/>
      <c r="G39" s="23"/>
      <c r="H39" s="23"/>
      <c r="I39" s="23"/>
      <c r="J39" s="11" t="str">
        <f aca="false">IF($B39="","",IF($H39="","Out","Returned"))</f>
        <v/>
      </c>
    </row>
    <row r="40" customFormat="false" ht="15" hidden="false" customHeight="false" outlineLevel="0" collapsed="false">
      <c r="A40" s="23"/>
      <c r="B40" s="23"/>
      <c r="C40" s="10" t="str">
        <f aca="false">IF($B40="","",IFERROR(INDEX(Inventory!$B$2:$B$381,MATCH($B40,Inventory!$A$2:$A$381,0)),"unknown ID"))</f>
        <v/>
      </c>
      <c r="D40" s="11" t="str">
        <f aca="false">IF($B40="","",IFERROR(INDEX(Inventory!$E$2:$E$381,MATCH($B40,Inventory!$A$2:$A$381,0)),""))</f>
        <v/>
      </c>
      <c r="E40" s="24"/>
      <c r="F40" s="24"/>
      <c r="G40" s="23"/>
      <c r="H40" s="23"/>
      <c r="I40" s="23"/>
      <c r="J40" s="11" t="str">
        <f aca="false">IF($B40="","",IF($H40="","Out","Returned"))</f>
        <v/>
      </c>
    </row>
    <row r="41" customFormat="false" ht="15" hidden="false" customHeight="false" outlineLevel="0" collapsed="false">
      <c r="A41" s="23"/>
      <c r="B41" s="23"/>
      <c r="C41" s="10" t="str">
        <f aca="false">IF($B41="","",IFERROR(INDEX(Inventory!$B$2:$B$381,MATCH($B41,Inventory!$A$2:$A$381,0)),"unknown ID"))</f>
        <v/>
      </c>
      <c r="D41" s="11" t="str">
        <f aca="false">IF($B41="","",IFERROR(INDEX(Inventory!$E$2:$E$381,MATCH($B41,Inventory!$A$2:$A$381,0)),""))</f>
        <v/>
      </c>
      <c r="E41" s="24"/>
      <c r="F41" s="24"/>
      <c r="G41" s="23"/>
      <c r="H41" s="23"/>
      <c r="I41" s="23"/>
      <c r="J41" s="11" t="str">
        <f aca="false">IF($B41="","",IF($H41="","Out","Returned"))</f>
        <v/>
      </c>
    </row>
    <row r="42" customFormat="false" ht="15" hidden="false" customHeight="false" outlineLevel="0" collapsed="false">
      <c r="A42" s="23"/>
      <c r="B42" s="23"/>
      <c r="C42" s="10" t="str">
        <f aca="false">IF($B42="","",IFERROR(INDEX(Inventory!$B$2:$B$381,MATCH($B42,Inventory!$A$2:$A$381,0)),"unknown ID"))</f>
        <v/>
      </c>
      <c r="D42" s="11" t="str">
        <f aca="false">IF($B42="","",IFERROR(INDEX(Inventory!$E$2:$E$381,MATCH($B42,Inventory!$A$2:$A$381,0)),""))</f>
        <v/>
      </c>
      <c r="E42" s="24"/>
      <c r="F42" s="24"/>
      <c r="G42" s="23"/>
      <c r="H42" s="23"/>
      <c r="I42" s="23"/>
      <c r="J42" s="11" t="str">
        <f aca="false">IF($B42="","",IF($H42="","Out","Returned"))</f>
        <v/>
      </c>
    </row>
    <row r="43" customFormat="false" ht="15" hidden="false" customHeight="false" outlineLevel="0" collapsed="false">
      <c r="A43" s="23"/>
      <c r="B43" s="23"/>
      <c r="C43" s="10" t="str">
        <f aca="false">IF($B43="","",IFERROR(INDEX(Inventory!$B$2:$B$381,MATCH($B43,Inventory!$A$2:$A$381,0)),"unknown ID"))</f>
        <v/>
      </c>
      <c r="D43" s="11" t="str">
        <f aca="false">IF($B43="","",IFERROR(INDEX(Inventory!$E$2:$E$381,MATCH($B43,Inventory!$A$2:$A$381,0)),""))</f>
        <v/>
      </c>
      <c r="E43" s="24"/>
      <c r="F43" s="24"/>
      <c r="G43" s="23"/>
      <c r="H43" s="23"/>
      <c r="I43" s="23"/>
      <c r="J43" s="11" t="str">
        <f aca="false">IF($B43="","",IF($H43="","Out","Returned"))</f>
        <v/>
      </c>
    </row>
    <row r="44" customFormat="false" ht="15" hidden="false" customHeight="false" outlineLevel="0" collapsed="false">
      <c r="A44" s="23"/>
      <c r="B44" s="23"/>
      <c r="C44" s="10" t="str">
        <f aca="false">IF($B44="","",IFERROR(INDEX(Inventory!$B$2:$B$381,MATCH($B44,Inventory!$A$2:$A$381,0)),"unknown ID"))</f>
        <v/>
      </c>
      <c r="D44" s="11" t="str">
        <f aca="false">IF($B44="","",IFERROR(INDEX(Inventory!$E$2:$E$381,MATCH($B44,Inventory!$A$2:$A$381,0)),""))</f>
        <v/>
      </c>
      <c r="E44" s="24"/>
      <c r="F44" s="24"/>
      <c r="G44" s="23"/>
      <c r="H44" s="23"/>
      <c r="I44" s="23"/>
      <c r="J44" s="11" t="str">
        <f aca="false">IF($B44="","",IF($H44="","Out","Returned"))</f>
        <v/>
      </c>
    </row>
    <row r="45" customFormat="false" ht="15" hidden="false" customHeight="false" outlineLevel="0" collapsed="false">
      <c r="A45" s="23"/>
      <c r="B45" s="23"/>
      <c r="C45" s="10" t="str">
        <f aca="false">IF($B45="","",IFERROR(INDEX(Inventory!$B$2:$B$381,MATCH($B45,Inventory!$A$2:$A$381,0)),"unknown ID"))</f>
        <v/>
      </c>
      <c r="D45" s="11" t="str">
        <f aca="false">IF($B45="","",IFERROR(INDEX(Inventory!$E$2:$E$381,MATCH($B45,Inventory!$A$2:$A$381,0)),""))</f>
        <v/>
      </c>
      <c r="E45" s="24"/>
      <c r="F45" s="24"/>
      <c r="G45" s="23"/>
      <c r="H45" s="23"/>
      <c r="I45" s="23"/>
      <c r="J45" s="11" t="str">
        <f aca="false">IF($B45="","",IF($H45="","Out","Returned"))</f>
        <v/>
      </c>
    </row>
    <row r="46" customFormat="false" ht="15" hidden="false" customHeight="false" outlineLevel="0" collapsed="false">
      <c r="A46" s="23"/>
      <c r="B46" s="23"/>
      <c r="C46" s="10" t="str">
        <f aca="false">IF($B46="","",IFERROR(INDEX(Inventory!$B$2:$B$381,MATCH($B46,Inventory!$A$2:$A$381,0)),"unknown ID"))</f>
        <v/>
      </c>
      <c r="D46" s="11" t="str">
        <f aca="false">IF($B46="","",IFERROR(INDEX(Inventory!$E$2:$E$381,MATCH($B46,Inventory!$A$2:$A$381,0)),""))</f>
        <v/>
      </c>
      <c r="E46" s="24"/>
      <c r="F46" s="24"/>
      <c r="G46" s="23"/>
      <c r="H46" s="23"/>
      <c r="I46" s="23"/>
      <c r="J46" s="11" t="str">
        <f aca="false">IF($B46="","",IF($H46="","Out","Returned"))</f>
        <v/>
      </c>
    </row>
    <row r="47" customFormat="false" ht="15" hidden="false" customHeight="false" outlineLevel="0" collapsed="false">
      <c r="A47" s="23"/>
      <c r="B47" s="23"/>
      <c r="C47" s="10" t="str">
        <f aca="false">IF($B47="","",IFERROR(INDEX(Inventory!$B$2:$B$381,MATCH($B47,Inventory!$A$2:$A$381,0)),"unknown ID"))</f>
        <v/>
      </c>
      <c r="D47" s="11" t="str">
        <f aca="false">IF($B47="","",IFERROR(INDEX(Inventory!$E$2:$E$381,MATCH($B47,Inventory!$A$2:$A$381,0)),""))</f>
        <v/>
      </c>
      <c r="E47" s="24"/>
      <c r="F47" s="24"/>
      <c r="G47" s="23"/>
      <c r="H47" s="23"/>
      <c r="I47" s="23"/>
      <c r="J47" s="11" t="str">
        <f aca="false">IF($B47="","",IF($H47="","Out","Returned"))</f>
        <v/>
      </c>
    </row>
    <row r="48" customFormat="false" ht="15" hidden="false" customHeight="false" outlineLevel="0" collapsed="false">
      <c r="A48" s="23"/>
      <c r="B48" s="23"/>
      <c r="C48" s="10" t="str">
        <f aca="false">IF($B48="","",IFERROR(INDEX(Inventory!$B$2:$B$381,MATCH($B48,Inventory!$A$2:$A$381,0)),"unknown ID"))</f>
        <v/>
      </c>
      <c r="D48" s="11" t="str">
        <f aca="false">IF($B48="","",IFERROR(INDEX(Inventory!$E$2:$E$381,MATCH($B48,Inventory!$A$2:$A$381,0)),""))</f>
        <v/>
      </c>
      <c r="E48" s="24"/>
      <c r="F48" s="24"/>
      <c r="G48" s="23"/>
      <c r="H48" s="23"/>
      <c r="I48" s="23"/>
      <c r="J48" s="11" t="str">
        <f aca="false">IF($B48="","",IF($H48="","Out","Returned"))</f>
        <v/>
      </c>
    </row>
    <row r="49" customFormat="false" ht="15" hidden="false" customHeight="false" outlineLevel="0" collapsed="false">
      <c r="A49" s="23"/>
      <c r="B49" s="23"/>
      <c r="C49" s="10" t="str">
        <f aca="false">IF($B49="","",IFERROR(INDEX(Inventory!$B$2:$B$381,MATCH($B49,Inventory!$A$2:$A$381,0)),"unknown ID"))</f>
        <v/>
      </c>
      <c r="D49" s="11" t="str">
        <f aca="false">IF($B49="","",IFERROR(INDEX(Inventory!$E$2:$E$381,MATCH($B49,Inventory!$A$2:$A$381,0)),""))</f>
        <v/>
      </c>
      <c r="E49" s="24"/>
      <c r="F49" s="24"/>
      <c r="G49" s="23"/>
      <c r="H49" s="23"/>
      <c r="I49" s="23"/>
      <c r="J49" s="11" t="str">
        <f aca="false">IF($B49="","",IF($H49="","Out","Returned"))</f>
        <v/>
      </c>
    </row>
    <row r="50" customFormat="false" ht="15" hidden="false" customHeight="false" outlineLevel="0" collapsed="false">
      <c r="A50" s="23"/>
      <c r="B50" s="23"/>
      <c r="C50" s="10" t="str">
        <f aca="false">IF($B50="","",IFERROR(INDEX(Inventory!$B$2:$B$381,MATCH($B50,Inventory!$A$2:$A$381,0)),"unknown ID"))</f>
        <v/>
      </c>
      <c r="D50" s="11" t="str">
        <f aca="false">IF($B50="","",IFERROR(INDEX(Inventory!$E$2:$E$381,MATCH($B50,Inventory!$A$2:$A$381,0)),""))</f>
        <v/>
      </c>
      <c r="E50" s="24"/>
      <c r="F50" s="24"/>
      <c r="G50" s="23"/>
      <c r="H50" s="23"/>
      <c r="I50" s="23"/>
      <c r="J50" s="11" t="str">
        <f aca="false">IF($B50="","",IF($H50="","Out","Returned"))</f>
        <v/>
      </c>
    </row>
    <row r="51" customFormat="false" ht="15" hidden="false" customHeight="false" outlineLevel="0" collapsed="false">
      <c r="A51" s="23"/>
      <c r="B51" s="23"/>
      <c r="C51" s="10" t="str">
        <f aca="false">IF($B51="","",IFERROR(INDEX(Inventory!$B$2:$B$381,MATCH($B51,Inventory!$A$2:$A$381,0)),"unknown ID"))</f>
        <v/>
      </c>
      <c r="D51" s="11" t="str">
        <f aca="false">IF($B51="","",IFERROR(INDEX(Inventory!$E$2:$E$381,MATCH($B51,Inventory!$A$2:$A$381,0)),""))</f>
        <v/>
      </c>
      <c r="E51" s="24"/>
      <c r="F51" s="24"/>
      <c r="G51" s="23"/>
      <c r="H51" s="23"/>
      <c r="I51" s="23"/>
      <c r="J51" s="11" t="str">
        <f aca="false">IF($B51="","",IF($H51="","Out","Returned"))</f>
        <v/>
      </c>
    </row>
    <row r="52" customFormat="false" ht="15" hidden="false" customHeight="false" outlineLevel="0" collapsed="false">
      <c r="A52" s="23"/>
      <c r="B52" s="23"/>
      <c r="C52" s="10" t="str">
        <f aca="false">IF($B52="","",IFERROR(INDEX(Inventory!$B$2:$B$381,MATCH($B52,Inventory!$A$2:$A$381,0)),"unknown ID"))</f>
        <v/>
      </c>
      <c r="D52" s="11" t="str">
        <f aca="false">IF($B52="","",IFERROR(INDEX(Inventory!$E$2:$E$381,MATCH($B52,Inventory!$A$2:$A$381,0)),""))</f>
        <v/>
      </c>
      <c r="E52" s="24"/>
      <c r="F52" s="24"/>
      <c r="G52" s="23"/>
      <c r="H52" s="23"/>
      <c r="I52" s="23"/>
      <c r="J52" s="11" t="str">
        <f aca="false">IF($B52="","",IF($H52="","Out","Returned"))</f>
        <v/>
      </c>
    </row>
    <row r="53" customFormat="false" ht="15" hidden="false" customHeight="false" outlineLevel="0" collapsed="false">
      <c r="A53" s="23"/>
      <c r="B53" s="23"/>
      <c r="C53" s="10" t="str">
        <f aca="false">IF($B53="","",IFERROR(INDEX(Inventory!$B$2:$B$381,MATCH($B53,Inventory!$A$2:$A$381,0)),"unknown ID"))</f>
        <v/>
      </c>
      <c r="D53" s="11" t="str">
        <f aca="false">IF($B53="","",IFERROR(INDEX(Inventory!$E$2:$E$381,MATCH($B53,Inventory!$A$2:$A$381,0)),""))</f>
        <v/>
      </c>
      <c r="E53" s="24"/>
      <c r="F53" s="24"/>
      <c r="G53" s="23"/>
      <c r="H53" s="23"/>
      <c r="I53" s="23"/>
      <c r="J53" s="11" t="str">
        <f aca="false">IF($B53="","",IF($H53="","Out","Returned"))</f>
        <v/>
      </c>
    </row>
    <row r="54" customFormat="false" ht="15" hidden="false" customHeight="false" outlineLevel="0" collapsed="false">
      <c r="A54" s="23"/>
      <c r="B54" s="23"/>
      <c r="C54" s="10" t="str">
        <f aca="false">IF($B54="","",IFERROR(INDEX(Inventory!$B$2:$B$381,MATCH($B54,Inventory!$A$2:$A$381,0)),"unknown ID"))</f>
        <v/>
      </c>
      <c r="D54" s="11" t="str">
        <f aca="false">IF($B54="","",IFERROR(INDEX(Inventory!$E$2:$E$381,MATCH($B54,Inventory!$A$2:$A$381,0)),""))</f>
        <v/>
      </c>
      <c r="E54" s="24"/>
      <c r="F54" s="24"/>
      <c r="G54" s="23"/>
      <c r="H54" s="23"/>
      <c r="I54" s="23"/>
      <c r="J54" s="11" t="str">
        <f aca="false">IF($B54="","",IF($H54="","Out","Returned"))</f>
        <v/>
      </c>
    </row>
    <row r="55" customFormat="false" ht="15" hidden="false" customHeight="false" outlineLevel="0" collapsed="false">
      <c r="A55" s="23"/>
      <c r="B55" s="23"/>
      <c r="C55" s="10" t="str">
        <f aca="false">IF($B55="","",IFERROR(INDEX(Inventory!$B$2:$B$381,MATCH($B55,Inventory!$A$2:$A$381,0)),"unknown ID"))</f>
        <v/>
      </c>
      <c r="D55" s="11" t="str">
        <f aca="false">IF($B55="","",IFERROR(INDEX(Inventory!$E$2:$E$381,MATCH($B55,Inventory!$A$2:$A$381,0)),""))</f>
        <v/>
      </c>
      <c r="E55" s="24"/>
      <c r="F55" s="24"/>
      <c r="G55" s="23"/>
      <c r="H55" s="23"/>
      <c r="I55" s="23"/>
      <c r="J55" s="11" t="str">
        <f aca="false">IF($B55="","",IF($H55="","Out","Returned"))</f>
        <v/>
      </c>
    </row>
    <row r="56" customFormat="false" ht="15" hidden="false" customHeight="false" outlineLevel="0" collapsed="false">
      <c r="A56" s="23"/>
      <c r="B56" s="23"/>
      <c r="C56" s="10" t="str">
        <f aca="false">IF($B56="","",IFERROR(INDEX(Inventory!$B$2:$B$381,MATCH($B56,Inventory!$A$2:$A$381,0)),"unknown ID"))</f>
        <v/>
      </c>
      <c r="D56" s="11" t="str">
        <f aca="false">IF($B56="","",IFERROR(INDEX(Inventory!$E$2:$E$381,MATCH($B56,Inventory!$A$2:$A$381,0)),""))</f>
        <v/>
      </c>
      <c r="E56" s="24"/>
      <c r="F56" s="24"/>
      <c r="G56" s="23"/>
      <c r="H56" s="23"/>
      <c r="I56" s="23"/>
      <c r="J56" s="11" t="str">
        <f aca="false">IF($B56="","",IF($H56="","Out","Returned"))</f>
        <v/>
      </c>
    </row>
    <row r="57" customFormat="false" ht="15" hidden="false" customHeight="false" outlineLevel="0" collapsed="false">
      <c r="A57" s="23"/>
      <c r="B57" s="23"/>
      <c r="C57" s="10" t="str">
        <f aca="false">IF($B57="","",IFERROR(INDEX(Inventory!$B$2:$B$381,MATCH($B57,Inventory!$A$2:$A$381,0)),"unknown ID"))</f>
        <v/>
      </c>
      <c r="D57" s="11" t="str">
        <f aca="false">IF($B57="","",IFERROR(INDEX(Inventory!$E$2:$E$381,MATCH($B57,Inventory!$A$2:$A$381,0)),""))</f>
        <v/>
      </c>
      <c r="E57" s="24"/>
      <c r="F57" s="24"/>
      <c r="G57" s="23"/>
      <c r="H57" s="23"/>
      <c r="I57" s="23"/>
      <c r="J57" s="11" t="str">
        <f aca="false">IF($B57="","",IF($H57="","Out","Returned"))</f>
        <v/>
      </c>
    </row>
    <row r="58" customFormat="false" ht="15" hidden="false" customHeight="false" outlineLevel="0" collapsed="false">
      <c r="A58" s="23"/>
      <c r="B58" s="23"/>
      <c r="C58" s="10" t="str">
        <f aca="false">IF($B58="","",IFERROR(INDEX(Inventory!$B$2:$B$381,MATCH($B58,Inventory!$A$2:$A$381,0)),"unknown ID"))</f>
        <v/>
      </c>
      <c r="D58" s="11" t="str">
        <f aca="false">IF($B58="","",IFERROR(INDEX(Inventory!$E$2:$E$381,MATCH($B58,Inventory!$A$2:$A$381,0)),""))</f>
        <v/>
      </c>
      <c r="E58" s="24"/>
      <c r="F58" s="24"/>
      <c r="G58" s="23"/>
      <c r="H58" s="23"/>
      <c r="I58" s="23"/>
      <c r="J58" s="11" t="str">
        <f aca="false">IF($B58="","",IF($H58="","Out","Returned"))</f>
        <v/>
      </c>
    </row>
    <row r="59" customFormat="false" ht="15" hidden="false" customHeight="false" outlineLevel="0" collapsed="false">
      <c r="A59" s="23"/>
      <c r="B59" s="23"/>
      <c r="C59" s="10" t="str">
        <f aca="false">IF($B59="","",IFERROR(INDEX(Inventory!$B$2:$B$381,MATCH($B59,Inventory!$A$2:$A$381,0)),"unknown ID"))</f>
        <v/>
      </c>
      <c r="D59" s="11" t="str">
        <f aca="false">IF($B59="","",IFERROR(INDEX(Inventory!$E$2:$E$381,MATCH($B59,Inventory!$A$2:$A$381,0)),""))</f>
        <v/>
      </c>
      <c r="E59" s="24"/>
      <c r="F59" s="24"/>
      <c r="G59" s="23"/>
      <c r="H59" s="23"/>
      <c r="I59" s="23"/>
      <c r="J59" s="11" t="str">
        <f aca="false">IF($B59="","",IF($H59="","Out","Returned"))</f>
        <v/>
      </c>
    </row>
    <row r="60" customFormat="false" ht="15" hidden="false" customHeight="false" outlineLevel="0" collapsed="false">
      <c r="A60" s="23"/>
      <c r="B60" s="23"/>
      <c r="C60" s="10" t="str">
        <f aca="false">IF($B60="","",IFERROR(INDEX(Inventory!$B$2:$B$381,MATCH($B60,Inventory!$A$2:$A$381,0)),"unknown ID"))</f>
        <v/>
      </c>
      <c r="D60" s="11" t="str">
        <f aca="false">IF($B60="","",IFERROR(INDEX(Inventory!$E$2:$E$381,MATCH($B60,Inventory!$A$2:$A$381,0)),""))</f>
        <v/>
      </c>
      <c r="E60" s="24"/>
      <c r="F60" s="24"/>
      <c r="G60" s="23"/>
      <c r="H60" s="23"/>
      <c r="I60" s="23"/>
      <c r="J60" s="11" t="str">
        <f aca="false">IF($B60="","",IF($H60="","Out","Returned"))</f>
        <v/>
      </c>
    </row>
    <row r="61" customFormat="false" ht="15" hidden="false" customHeight="false" outlineLevel="0" collapsed="false">
      <c r="A61" s="23"/>
      <c r="B61" s="23"/>
      <c r="C61" s="10" t="str">
        <f aca="false">IF($B61="","",IFERROR(INDEX(Inventory!$B$2:$B$381,MATCH($B61,Inventory!$A$2:$A$381,0)),"unknown ID"))</f>
        <v/>
      </c>
      <c r="D61" s="11" t="str">
        <f aca="false">IF($B61="","",IFERROR(INDEX(Inventory!$E$2:$E$381,MATCH($B61,Inventory!$A$2:$A$381,0)),""))</f>
        <v/>
      </c>
      <c r="E61" s="24"/>
      <c r="F61" s="24"/>
      <c r="G61" s="23"/>
      <c r="H61" s="23"/>
      <c r="I61" s="23"/>
      <c r="J61" s="11" t="str">
        <f aca="false">IF($B61="","",IF($H61="","Out","Returned"))</f>
        <v/>
      </c>
    </row>
    <row r="62" customFormat="false" ht="15" hidden="false" customHeight="false" outlineLevel="0" collapsed="false">
      <c r="A62" s="23"/>
      <c r="B62" s="23"/>
      <c r="C62" s="10" t="str">
        <f aca="false">IF($B62="","",IFERROR(INDEX(Inventory!$B$2:$B$381,MATCH($B62,Inventory!$A$2:$A$381,0)),"unknown ID"))</f>
        <v/>
      </c>
      <c r="D62" s="11" t="str">
        <f aca="false">IF($B62="","",IFERROR(INDEX(Inventory!$E$2:$E$381,MATCH($B62,Inventory!$A$2:$A$381,0)),""))</f>
        <v/>
      </c>
      <c r="E62" s="24"/>
      <c r="F62" s="24"/>
      <c r="G62" s="23"/>
      <c r="H62" s="23"/>
      <c r="I62" s="23"/>
      <c r="J62" s="11" t="str">
        <f aca="false">IF($B62="","",IF($H62="","Out","Returned"))</f>
        <v/>
      </c>
    </row>
    <row r="63" customFormat="false" ht="15" hidden="false" customHeight="false" outlineLevel="0" collapsed="false">
      <c r="A63" s="23"/>
      <c r="B63" s="23"/>
      <c r="C63" s="10" t="str">
        <f aca="false">IF($B63="","",IFERROR(INDEX(Inventory!$B$2:$B$381,MATCH($B63,Inventory!$A$2:$A$381,0)),"unknown ID"))</f>
        <v/>
      </c>
      <c r="D63" s="11" t="str">
        <f aca="false">IF($B63="","",IFERROR(INDEX(Inventory!$E$2:$E$381,MATCH($B63,Inventory!$A$2:$A$381,0)),""))</f>
        <v/>
      </c>
      <c r="E63" s="24"/>
      <c r="F63" s="24"/>
      <c r="G63" s="23"/>
      <c r="H63" s="23"/>
      <c r="I63" s="23"/>
      <c r="J63" s="11" t="str">
        <f aca="false">IF($B63="","",IF($H63="","Out","Returned"))</f>
        <v/>
      </c>
    </row>
    <row r="64" customFormat="false" ht="15" hidden="false" customHeight="false" outlineLevel="0" collapsed="false">
      <c r="A64" s="23"/>
      <c r="B64" s="23"/>
      <c r="C64" s="10" t="str">
        <f aca="false">IF($B64="","",IFERROR(INDEX(Inventory!$B$2:$B$381,MATCH($B64,Inventory!$A$2:$A$381,0)),"unknown ID"))</f>
        <v/>
      </c>
      <c r="D64" s="11" t="str">
        <f aca="false">IF($B64="","",IFERROR(INDEX(Inventory!$E$2:$E$381,MATCH($B64,Inventory!$A$2:$A$381,0)),""))</f>
        <v/>
      </c>
      <c r="E64" s="24"/>
      <c r="F64" s="24"/>
      <c r="G64" s="23"/>
      <c r="H64" s="23"/>
      <c r="I64" s="23"/>
      <c r="J64" s="11" t="str">
        <f aca="false">IF($B64="","",IF($H64="","Out","Returned"))</f>
        <v/>
      </c>
    </row>
    <row r="65" customFormat="false" ht="15" hidden="false" customHeight="false" outlineLevel="0" collapsed="false">
      <c r="A65" s="23"/>
      <c r="B65" s="23"/>
      <c r="C65" s="10" t="str">
        <f aca="false">IF($B65="","",IFERROR(INDEX(Inventory!$B$2:$B$381,MATCH($B65,Inventory!$A$2:$A$381,0)),"unknown ID"))</f>
        <v/>
      </c>
      <c r="D65" s="11" t="str">
        <f aca="false">IF($B65="","",IFERROR(INDEX(Inventory!$E$2:$E$381,MATCH($B65,Inventory!$A$2:$A$381,0)),""))</f>
        <v/>
      </c>
      <c r="E65" s="24"/>
      <c r="F65" s="24"/>
      <c r="G65" s="23"/>
      <c r="H65" s="23"/>
      <c r="I65" s="23"/>
      <c r="J65" s="11" t="str">
        <f aca="false">IF($B65="","",IF($H65="","Out","Returned"))</f>
        <v/>
      </c>
    </row>
    <row r="66" customFormat="false" ht="15" hidden="false" customHeight="false" outlineLevel="0" collapsed="false">
      <c r="A66" s="23"/>
      <c r="B66" s="23"/>
      <c r="C66" s="10" t="str">
        <f aca="false">IF($B66="","",IFERROR(INDEX(Inventory!$B$2:$B$381,MATCH($B66,Inventory!$A$2:$A$381,0)),"unknown ID"))</f>
        <v/>
      </c>
      <c r="D66" s="11" t="str">
        <f aca="false">IF($B66="","",IFERROR(INDEX(Inventory!$E$2:$E$381,MATCH($B66,Inventory!$A$2:$A$381,0)),""))</f>
        <v/>
      </c>
      <c r="E66" s="24"/>
      <c r="F66" s="24"/>
      <c r="G66" s="23"/>
      <c r="H66" s="23"/>
      <c r="I66" s="23"/>
      <c r="J66" s="11" t="str">
        <f aca="false">IF($B66="","",IF($H66="","Out","Returned"))</f>
        <v/>
      </c>
    </row>
    <row r="67" customFormat="false" ht="15" hidden="false" customHeight="false" outlineLevel="0" collapsed="false">
      <c r="A67" s="23"/>
      <c r="B67" s="23"/>
      <c r="C67" s="10" t="str">
        <f aca="false">IF($B67="","",IFERROR(INDEX(Inventory!$B$2:$B$381,MATCH($B67,Inventory!$A$2:$A$381,0)),"unknown ID"))</f>
        <v/>
      </c>
      <c r="D67" s="11" t="str">
        <f aca="false">IF($B67="","",IFERROR(INDEX(Inventory!$E$2:$E$381,MATCH($B67,Inventory!$A$2:$A$381,0)),""))</f>
        <v/>
      </c>
      <c r="E67" s="24"/>
      <c r="F67" s="24"/>
      <c r="G67" s="23"/>
      <c r="H67" s="23"/>
      <c r="I67" s="23"/>
      <c r="J67" s="11" t="str">
        <f aca="false">IF($B67="","",IF($H67="","Out","Returned"))</f>
        <v/>
      </c>
    </row>
    <row r="68" customFormat="false" ht="15" hidden="false" customHeight="false" outlineLevel="0" collapsed="false">
      <c r="A68" s="23"/>
      <c r="B68" s="23"/>
      <c r="C68" s="10" t="str">
        <f aca="false">IF($B68="","",IFERROR(INDEX(Inventory!$B$2:$B$381,MATCH($B68,Inventory!$A$2:$A$381,0)),"unknown ID"))</f>
        <v/>
      </c>
      <c r="D68" s="11" t="str">
        <f aca="false">IF($B68="","",IFERROR(INDEX(Inventory!$E$2:$E$381,MATCH($B68,Inventory!$A$2:$A$381,0)),""))</f>
        <v/>
      </c>
      <c r="E68" s="24"/>
      <c r="F68" s="24"/>
      <c r="G68" s="23"/>
      <c r="H68" s="23"/>
      <c r="I68" s="23"/>
      <c r="J68" s="11" t="str">
        <f aca="false">IF($B68="","",IF($H68="","Out","Returned"))</f>
        <v/>
      </c>
    </row>
    <row r="69" customFormat="false" ht="15" hidden="false" customHeight="false" outlineLevel="0" collapsed="false">
      <c r="A69" s="23"/>
      <c r="B69" s="23"/>
      <c r="C69" s="10" t="str">
        <f aca="false">IF($B69="","",IFERROR(INDEX(Inventory!$B$2:$B$381,MATCH($B69,Inventory!$A$2:$A$381,0)),"unknown ID"))</f>
        <v/>
      </c>
      <c r="D69" s="11" t="str">
        <f aca="false">IF($B69="","",IFERROR(INDEX(Inventory!$E$2:$E$381,MATCH($B69,Inventory!$A$2:$A$381,0)),""))</f>
        <v/>
      </c>
      <c r="E69" s="24"/>
      <c r="F69" s="24"/>
      <c r="G69" s="23"/>
      <c r="H69" s="23"/>
      <c r="I69" s="23"/>
      <c r="J69" s="11" t="str">
        <f aca="false">IF($B69="","",IF($H69="","Out","Returned"))</f>
        <v/>
      </c>
    </row>
    <row r="70" customFormat="false" ht="15" hidden="false" customHeight="false" outlineLevel="0" collapsed="false">
      <c r="A70" s="23"/>
      <c r="B70" s="23"/>
      <c r="C70" s="10" t="str">
        <f aca="false">IF($B70="","",IFERROR(INDEX(Inventory!$B$2:$B$381,MATCH($B70,Inventory!$A$2:$A$381,0)),"unknown ID"))</f>
        <v/>
      </c>
      <c r="D70" s="11" t="str">
        <f aca="false">IF($B70="","",IFERROR(INDEX(Inventory!$E$2:$E$381,MATCH($B70,Inventory!$A$2:$A$381,0)),""))</f>
        <v/>
      </c>
      <c r="E70" s="24"/>
      <c r="F70" s="24"/>
      <c r="G70" s="23"/>
      <c r="H70" s="23"/>
      <c r="I70" s="23"/>
      <c r="J70" s="11" t="str">
        <f aca="false">IF($B70="","",IF($H70="","Out","Returned"))</f>
        <v/>
      </c>
    </row>
    <row r="71" customFormat="false" ht="15" hidden="false" customHeight="false" outlineLevel="0" collapsed="false">
      <c r="A71" s="23"/>
      <c r="B71" s="23"/>
      <c r="C71" s="10" t="str">
        <f aca="false">IF($B71="","",IFERROR(INDEX(Inventory!$B$2:$B$381,MATCH($B71,Inventory!$A$2:$A$381,0)),"unknown ID"))</f>
        <v/>
      </c>
      <c r="D71" s="11" t="str">
        <f aca="false">IF($B71="","",IFERROR(INDEX(Inventory!$E$2:$E$381,MATCH($B71,Inventory!$A$2:$A$381,0)),""))</f>
        <v/>
      </c>
      <c r="E71" s="24"/>
      <c r="F71" s="24"/>
      <c r="G71" s="23"/>
      <c r="H71" s="23"/>
      <c r="I71" s="23"/>
      <c r="J71" s="11" t="str">
        <f aca="false">IF($B71="","",IF($H71="","Out","Returned"))</f>
        <v/>
      </c>
    </row>
    <row r="72" customFormat="false" ht="15" hidden="false" customHeight="false" outlineLevel="0" collapsed="false">
      <c r="A72" s="23"/>
      <c r="B72" s="23"/>
      <c r="C72" s="10" t="str">
        <f aca="false">IF($B72="","",IFERROR(INDEX(Inventory!$B$2:$B$381,MATCH($B72,Inventory!$A$2:$A$381,0)),"unknown ID"))</f>
        <v/>
      </c>
      <c r="D72" s="11" t="str">
        <f aca="false">IF($B72="","",IFERROR(INDEX(Inventory!$E$2:$E$381,MATCH($B72,Inventory!$A$2:$A$381,0)),""))</f>
        <v/>
      </c>
      <c r="E72" s="24"/>
      <c r="F72" s="24"/>
      <c r="G72" s="23"/>
      <c r="H72" s="23"/>
      <c r="I72" s="23"/>
      <c r="J72" s="11" t="str">
        <f aca="false">IF($B72="","",IF($H72="","Out","Returned"))</f>
        <v/>
      </c>
    </row>
    <row r="73" customFormat="false" ht="15" hidden="false" customHeight="false" outlineLevel="0" collapsed="false">
      <c r="A73" s="23"/>
      <c r="B73" s="23"/>
      <c r="C73" s="10" t="str">
        <f aca="false">IF($B73="","",IFERROR(INDEX(Inventory!$B$2:$B$381,MATCH($B73,Inventory!$A$2:$A$381,0)),"unknown ID"))</f>
        <v/>
      </c>
      <c r="D73" s="11" t="str">
        <f aca="false">IF($B73="","",IFERROR(INDEX(Inventory!$E$2:$E$381,MATCH($B73,Inventory!$A$2:$A$381,0)),""))</f>
        <v/>
      </c>
      <c r="E73" s="24"/>
      <c r="F73" s="24"/>
      <c r="G73" s="23"/>
      <c r="H73" s="23"/>
      <c r="I73" s="23"/>
      <c r="J73" s="11" t="str">
        <f aca="false">IF($B73="","",IF($H73="","Out","Returned"))</f>
        <v/>
      </c>
    </row>
    <row r="74" customFormat="false" ht="15" hidden="false" customHeight="false" outlineLevel="0" collapsed="false">
      <c r="A74" s="23"/>
      <c r="B74" s="23"/>
      <c r="C74" s="10" t="str">
        <f aca="false">IF($B74="","",IFERROR(INDEX(Inventory!$B$2:$B$381,MATCH($B74,Inventory!$A$2:$A$381,0)),"unknown ID"))</f>
        <v/>
      </c>
      <c r="D74" s="11" t="str">
        <f aca="false">IF($B74="","",IFERROR(INDEX(Inventory!$E$2:$E$381,MATCH($B74,Inventory!$A$2:$A$381,0)),""))</f>
        <v/>
      </c>
      <c r="E74" s="24"/>
      <c r="F74" s="24"/>
      <c r="G74" s="23"/>
      <c r="H74" s="23"/>
      <c r="I74" s="23"/>
      <c r="J74" s="11" t="str">
        <f aca="false">IF($B74="","",IF($H74="","Out","Returned"))</f>
        <v/>
      </c>
    </row>
    <row r="75" customFormat="false" ht="15" hidden="false" customHeight="false" outlineLevel="0" collapsed="false">
      <c r="A75" s="23"/>
      <c r="B75" s="23"/>
      <c r="C75" s="10" t="str">
        <f aca="false">IF($B75="","",IFERROR(INDEX(Inventory!$B$2:$B$381,MATCH($B75,Inventory!$A$2:$A$381,0)),"unknown ID"))</f>
        <v/>
      </c>
      <c r="D75" s="11" t="str">
        <f aca="false">IF($B75="","",IFERROR(INDEX(Inventory!$E$2:$E$381,MATCH($B75,Inventory!$A$2:$A$381,0)),""))</f>
        <v/>
      </c>
      <c r="E75" s="24"/>
      <c r="F75" s="24"/>
      <c r="G75" s="23"/>
      <c r="H75" s="23"/>
      <c r="I75" s="23"/>
      <c r="J75" s="11" t="str">
        <f aca="false">IF($B75="","",IF($H75="","Out","Returned"))</f>
        <v/>
      </c>
    </row>
    <row r="76" customFormat="false" ht="15" hidden="false" customHeight="false" outlineLevel="0" collapsed="false">
      <c r="A76" s="23"/>
      <c r="B76" s="23"/>
      <c r="C76" s="10" t="str">
        <f aca="false">IF($B76="","",IFERROR(INDEX(Inventory!$B$2:$B$381,MATCH($B76,Inventory!$A$2:$A$381,0)),"unknown ID"))</f>
        <v/>
      </c>
      <c r="D76" s="11" t="str">
        <f aca="false">IF($B76="","",IFERROR(INDEX(Inventory!$E$2:$E$381,MATCH($B76,Inventory!$A$2:$A$381,0)),""))</f>
        <v/>
      </c>
      <c r="E76" s="24"/>
      <c r="F76" s="24"/>
      <c r="G76" s="23"/>
      <c r="H76" s="23"/>
      <c r="I76" s="23"/>
      <c r="J76" s="11" t="str">
        <f aca="false">IF($B76="","",IF($H76="","Out","Returned"))</f>
        <v/>
      </c>
    </row>
    <row r="77" customFormat="false" ht="15" hidden="false" customHeight="false" outlineLevel="0" collapsed="false">
      <c r="A77" s="23"/>
      <c r="B77" s="23"/>
      <c r="C77" s="10" t="str">
        <f aca="false">IF($B77="","",IFERROR(INDEX(Inventory!$B$2:$B$381,MATCH($B77,Inventory!$A$2:$A$381,0)),"unknown ID"))</f>
        <v/>
      </c>
      <c r="D77" s="11" t="str">
        <f aca="false">IF($B77="","",IFERROR(INDEX(Inventory!$E$2:$E$381,MATCH($B77,Inventory!$A$2:$A$381,0)),""))</f>
        <v/>
      </c>
      <c r="E77" s="24"/>
      <c r="F77" s="24"/>
      <c r="G77" s="23"/>
      <c r="H77" s="23"/>
      <c r="I77" s="23"/>
      <c r="J77" s="11" t="str">
        <f aca="false">IF($B77="","",IF($H77="","Out","Returned"))</f>
        <v/>
      </c>
    </row>
    <row r="78" customFormat="false" ht="15" hidden="false" customHeight="false" outlineLevel="0" collapsed="false">
      <c r="A78" s="23"/>
      <c r="B78" s="23"/>
      <c r="C78" s="10" t="str">
        <f aca="false">IF($B78="","",IFERROR(INDEX(Inventory!$B$2:$B$381,MATCH($B78,Inventory!$A$2:$A$381,0)),"unknown ID"))</f>
        <v/>
      </c>
      <c r="D78" s="11" t="str">
        <f aca="false">IF($B78="","",IFERROR(INDEX(Inventory!$E$2:$E$381,MATCH($B78,Inventory!$A$2:$A$381,0)),""))</f>
        <v/>
      </c>
      <c r="E78" s="24"/>
      <c r="F78" s="24"/>
      <c r="G78" s="23"/>
      <c r="H78" s="23"/>
      <c r="I78" s="23"/>
      <c r="J78" s="11" t="str">
        <f aca="false">IF($B78="","",IF($H78="","Out","Returned"))</f>
        <v/>
      </c>
    </row>
    <row r="79" customFormat="false" ht="15" hidden="false" customHeight="false" outlineLevel="0" collapsed="false">
      <c r="A79" s="23"/>
      <c r="B79" s="23"/>
      <c r="C79" s="10" t="str">
        <f aca="false">IF($B79="","",IFERROR(INDEX(Inventory!$B$2:$B$381,MATCH($B79,Inventory!$A$2:$A$381,0)),"unknown ID"))</f>
        <v/>
      </c>
      <c r="D79" s="11" t="str">
        <f aca="false">IF($B79="","",IFERROR(INDEX(Inventory!$E$2:$E$381,MATCH($B79,Inventory!$A$2:$A$381,0)),""))</f>
        <v/>
      </c>
      <c r="E79" s="24"/>
      <c r="F79" s="24"/>
      <c r="G79" s="23"/>
      <c r="H79" s="23"/>
      <c r="I79" s="23"/>
      <c r="J79" s="11" t="str">
        <f aca="false">IF($B79="","",IF($H79="","Out","Returned"))</f>
        <v/>
      </c>
    </row>
    <row r="80" customFormat="false" ht="15" hidden="false" customHeight="false" outlineLevel="0" collapsed="false">
      <c r="A80" s="23"/>
      <c r="B80" s="23"/>
      <c r="C80" s="10" t="str">
        <f aca="false">IF($B80="","",IFERROR(INDEX(Inventory!$B$2:$B$381,MATCH($B80,Inventory!$A$2:$A$381,0)),"unknown ID"))</f>
        <v/>
      </c>
      <c r="D80" s="11" t="str">
        <f aca="false">IF($B80="","",IFERROR(INDEX(Inventory!$E$2:$E$381,MATCH($B80,Inventory!$A$2:$A$381,0)),""))</f>
        <v/>
      </c>
      <c r="E80" s="24"/>
      <c r="F80" s="24"/>
      <c r="G80" s="23"/>
      <c r="H80" s="23"/>
      <c r="I80" s="23"/>
      <c r="J80" s="11" t="str">
        <f aca="false">IF($B80="","",IF($H80="","Out","Returned"))</f>
        <v/>
      </c>
    </row>
    <row r="81" customFormat="false" ht="15" hidden="false" customHeight="false" outlineLevel="0" collapsed="false">
      <c r="A81" s="23"/>
      <c r="B81" s="23"/>
      <c r="C81" s="10" t="str">
        <f aca="false">IF($B81="","",IFERROR(INDEX(Inventory!$B$2:$B$381,MATCH($B81,Inventory!$A$2:$A$381,0)),"unknown ID"))</f>
        <v/>
      </c>
      <c r="D81" s="11" t="str">
        <f aca="false">IF($B81="","",IFERROR(INDEX(Inventory!$E$2:$E$381,MATCH($B81,Inventory!$A$2:$A$381,0)),""))</f>
        <v/>
      </c>
      <c r="E81" s="24"/>
      <c r="F81" s="24"/>
      <c r="G81" s="23"/>
      <c r="H81" s="23"/>
      <c r="I81" s="23"/>
      <c r="J81" s="11" t="str">
        <f aca="false">IF($B81="","",IF($H81="","Out","Returned"))</f>
        <v/>
      </c>
    </row>
    <row r="82" customFormat="false" ht="15" hidden="false" customHeight="false" outlineLevel="0" collapsed="false">
      <c r="A82" s="23"/>
      <c r="B82" s="23"/>
      <c r="C82" s="10" t="str">
        <f aca="false">IF($B82="","",IFERROR(INDEX(Inventory!$B$2:$B$381,MATCH($B82,Inventory!$A$2:$A$381,0)),"unknown ID"))</f>
        <v/>
      </c>
      <c r="D82" s="11" t="str">
        <f aca="false">IF($B82="","",IFERROR(INDEX(Inventory!$E$2:$E$381,MATCH($B82,Inventory!$A$2:$A$381,0)),""))</f>
        <v/>
      </c>
      <c r="E82" s="24"/>
      <c r="F82" s="24"/>
      <c r="G82" s="23"/>
      <c r="H82" s="23"/>
      <c r="I82" s="23"/>
      <c r="J82" s="11" t="str">
        <f aca="false">IF($B82="","",IF($H82="","Out","Returned"))</f>
        <v/>
      </c>
    </row>
    <row r="83" customFormat="false" ht="15" hidden="false" customHeight="false" outlineLevel="0" collapsed="false">
      <c r="A83" s="23"/>
      <c r="B83" s="23"/>
      <c r="C83" s="10" t="str">
        <f aca="false">IF($B83="","",IFERROR(INDEX(Inventory!$B$2:$B$381,MATCH($B83,Inventory!$A$2:$A$381,0)),"unknown ID"))</f>
        <v/>
      </c>
      <c r="D83" s="11" t="str">
        <f aca="false">IF($B83="","",IFERROR(INDEX(Inventory!$E$2:$E$381,MATCH($B83,Inventory!$A$2:$A$381,0)),""))</f>
        <v/>
      </c>
      <c r="E83" s="24"/>
      <c r="F83" s="24"/>
      <c r="G83" s="23"/>
      <c r="H83" s="23"/>
      <c r="I83" s="23"/>
      <c r="J83" s="11" t="str">
        <f aca="false">IF($B83="","",IF($H83="","Out","Returned"))</f>
        <v/>
      </c>
    </row>
    <row r="84" customFormat="false" ht="15" hidden="false" customHeight="false" outlineLevel="0" collapsed="false">
      <c r="A84" s="23"/>
      <c r="B84" s="23"/>
      <c r="C84" s="10" t="str">
        <f aca="false">IF($B84="","",IFERROR(INDEX(Inventory!$B$2:$B$381,MATCH($B84,Inventory!$A$2:$A$381,0)),"unknown ID"))</f>
        <v/>
      </c>
      <c r="D84" s="11" t="str">
        <f aca="false">IF($B84="","",IFERROR(INDEX(Inventory!$E$2:$E$381,MATCH($B84,Inventory!$A$2:$A$381,0)),""))</f>
        <v/>
      </c>
      <c r="E84" s="24"/>
      <c r="F84" s="24"/>
      <c r="G84" s="23"/>
      <c r="H84" s="23"/>
      <c r="I84" s="23"/>
      <c r="J84" s="11" t="str">
        <f aca="false">IF($B84="","",IF($H84="","Out","Returned"))</f>
        <v/>
      </c>
    </row>
    <row r="85" customFormat="false" ht="15" hidden="false" customHeight="false" outlineLevel="0" collapsed="false">
      <c r="A85" s="23"/>
      <c r="B85" s="23"/>
      <c r="C85" s="10" t="str">
        <f aca="false">IF($B85="","",IFERROR(INDEX(Inventory!$B$2:$B$381,MATCH($B85,Inventory!$A$2:$A$381,0)),"unknown ID"))</f>
        <v/>
      </c>
      <c r="D85" s="11" t="str">
        <f aca="false">IF($B85="","",IFERROR(INDEX(Inventory!$E$2:$E$381,MATCH($B85,Inventory!$A$2:$A$381,0)),""))</f>
        <v/>
      </c>
      <c r="E85" s="24"/>
      <c r="F85" s="24"/>
      <c r="G85" s="23"/>
      <c r="H85" s="23"/>
      <c r="I85" s="23"/>
      <c r="J85" s="11" t="str">
        <f aca="false">IF($B85="","",IF($H85="","Out","Returned"))</f>
        <v/>
      </c>
    </row>
    <row r="86" customFormat="false" ht="15" hidden="false" customHeight="false" outlineLevel="0" collapsed="false">
      <c r="A86" s="23"/>
      <c r="B86" s="23"/>
      <c r="C86" s="10" t="str">
        <f aca="false">IF($B86="","",IFERROR(INDEX(Inventory!$B$2:$B$381,MATCH($B86,Inventory!$A$2:$A$381,0)),"unknown ID"))</f>
        <v/>
      </c>
      <c r="D86" s="11" t="str">
        <f aca="false">IF($B86="","",IFERROR(INDEX(Inventory!$E$2:$E$381,MATCH($B86,Inventory!$A$2:$A$381,0)),""))</f>
        <v/>
      </c>
      <c r="E86" s="24"/>
      <c r="F86" s="24"/>
      <c r="G86" s="23"/>
      <c r="H86" s="23"/>
      <c r="I86" s="23"/>
      <c r="J86" s="11" t="str">
        <f aca="false">IF($B86="","",IF($H86="","Out","Returned"))</f>
        <v/>
      </c>
    </row>
    <row r="87" customFormat="false" ht="15" hidden="false" customHeight="false" outlineLevel="0" collapsed="false">
      <c r="A87" s="23"/>
      <c r="B87" s="23"/>
      <c r="C87" s="10" t="str">
        <f aca="false">IF($B87="","",IFERROR(INDEX(Inventory!$B$2:$B$381,MATCH($B87,Inventory!$A$2:$A$381,0)),"unknown ID"))</f>
        <v/>
      </c>
      <c r="D87" s="11" t="str">
        <f aca="false">IF($B87="","",IFERROR(INDEX(Inventory!$E$2:$E$381,MATCH($B87,Inventory!$A$2:$A$381,0)),""))</f>
        <v/>
      </c>
      <c r="E87" s="24"/>
      <c r="F87" s="24"/>
      <c r="G87" s="23"/>
      <c r="H87" s="23"/>
      <c r="I87" s="23"/>
      <c r="J87" s="11" t="str">
        <f aca="false">IF($B87="","",IF($H87="","Out","Returned"))</f>
        <v/>
      </c>
    </row>
    <row r="88" customFormat="false" ht="15" hidden="false" customHeight="false" outlineLevel="0" collapsed="false">
      <c r="A88" s="23"/>
      <c r="B88" s="23"/>
      <c r="C88" s="10" t="str">
        <f aca="false">IF($B88="","",IFERROR(INDEX(Inventory!$B$2:$B$381,MATCH($B88,Inventory!$A$2:$A$381,0)),"unknown ID"))</f>
        <v/>
      </c>
      <c r="D88" s="11" t="str">
        <f aca="false">IF($B88="","",IFERROR(INDEX(Inventory!$E$2:$E$381,MATCH($B88,Inventory!$A$2:$A$381,0)),""))</f>
        <v/>
      </c>
      <c r="E88" s="24"/>
      <c r="F88" s="24"/>
      <c r="G88" s="23"/>
      <c r="H88" s="23"/>
      <c r="I88" s="23"/>
      <c r="J88" s="11" t="str">
        <f aca="false">IF($B88="","",IF($H88="","Out","Returned"))</f>
        <v/>
      </c>
    </row>
    <row r="89" customFormat="false" ht="15" hidden="false" customHeight="false" outlineLevel="0" collapsed="false">
      <c r="A89" s="23"/>
      <c r="B89" s="23"/>
      <c r="C89" s="10" t="str">
        <f aca="false">IF($B89="","",IFERROR(INDEX(Inventory!$B$2:$B$381,MATCH($B89,Inventory!$A$2:$A$381,0)),"unknown ID"))</f>
        <v/>
      </c>
      <c r="D89" s="11" t="str">
        <f aca="false">IF($B89="","",IFERROR(INDEX(Inventory!$E$2:$E$381,MATCH($B89,Inventory!$A$2:$A$381,0)),""))</f>
        <v/>
      </c>
      <c r="E89" s="24"/>
      <c r="F89" s="24"/>
      <c r="G89" s="23"/>
      <c r="H89" s="23"/>
      <c r="I89" s="23"/>
      <c r="J89" s="11" t="str">
        <f aca="false">IF($B89="","",IF($H89="","Out","Returned"))</f>
        <v/>
      </c>
    </row>
    <row r="90" customFormat="false" ht="15" hidden="false" customHeight="false" outlineLevel="0" collapsed="false">
      <c r="A90" s="23"/>
      <c r="B90" s="23"/>
      <c r="C90" s="10" t="str">
        <f aca="false">IF($B90="","",IFERROR(INDEX(Inventory!$B$2:$B$381,MATCH($B90,Inventory!$A$2:$A$381,0)),"unknown ID"))</f>
        <v/>
      </c>
      <c r="D90" s="11" t="str">
        <f aca="false">IF($B90="","",IFERROR(INDEX(Inventory!$E$2:$E$381,MATCH($B90,Inventory!$A$2:$A$381,0)),""))</f>
        <v/>
      </c>
      <c r="E90" s="24"/>
      <c r="F90" s="24"/>
      <c r="G90" s="23"/>
      <c r="H90" s="23"/>
      <c r="I90" s="23"/>
      <c r="J90" s="11" t="str">
        <f aca="false">IF($B90="","",IF($H90="","Out","Returned"))</f>
        <v/>
      </c>
    </row>
    <row r="91" customFormat="false" ht="15" hidden="false" customHeight="false" outlineLevel="0" collapsed="false">
      <c r="A91" s="23"/>
      <c r="B91" s="23"/>
      <c r="C91" s="10" t="str">
        <f aca="false">IF($B91="","",IFERROR(INDEX(Inventory!$B$2:$B$381,MATCH($B91,Inventory!$A$2:$A$381,0)),"unknown ID"))</f>
        <v/>
      </c>
      <c r="D91" s="11" t="str">
        <f aca="false">IF($B91="","",IFERROR(INDEX(Inventory!$E$2:$E$381,MATCH($B91,Inventory!$A$2:$A$381,0)),""))</f>
        <v/>
      </c>
      <c r="E91" s="24"/>
      <c r="F91" s="24"/>
      <c r="G91" s="23"/>
      <c r="H91" s="23"/>
      <c r="I91" s="23"/>
      <c r="J91" s="11" t="str">
        <f aca="false">IF($B91="","",IF($H91="","Out","Returned"))</f>
        <v/>
      </c>
    </row>
    <row r="92" customFormat="false" ht="15" hidden="false" customHeight="false" outlineLevel="0" collapsed="false">
      <c r="A92" s="23"/>
      <c r="B92" s="23"/>
      <c r="C92" s="10" t="str">
        <f aca="false">IF($B92="","",IFERROR(INDEX(Inventory!$B$2:$B$381,MATCH($B92,Inventory!$A$2:$A$381,0)),"unknown ID"))</f>
        <v/>
      </c>
      <c r="D92" s="11" t="str">
        <f aca="false">IF($B92="","",IFERROR(INDEX(Inventory!$E$2:$E$381,MATCH($B92,Inventory!$A$2:$A$381,0)),""))</f>
        <v/>
      </c>
      <c r="E92" s="24"/>
      <c r="F92" s="24"/>
      <c r="G92" s="23"/>
      <c r="H92" s="23"/>
      <c r="I92" s="23"/>
      <c r="J92" s="11" t="str">
        <f aca="false">IF($B92="","",IF($H92="","Out","Returned"))</f>
        <v/>
      </c>
    </row>
    <row r="93" customFormat="false" ht="15" hidden="false" customHeight="false" outlineLevel="0" collapsed="false">
      <c r="A93" s="23"/>
      <c r="B93" s="23"/>
      <c r="C93" s="10" t="str">
        <f aca="false">IF($B93="","",IFERROR(INDEX(Inventory!$B$2:$B$381,MATCH($B93,Inventory!$A$2:$A$381,0)),"unknown ID"))</f>
        <v/>
      </c>
      <c r="D93" s="11" t="str">
        <f aca="false">IF($B93="","",IFERROR(INDEX(Inventory!$E$2:$E$381,MATCH($B93,Inventory!$A$2:$A$381,0)),""))</f>
        <v/>
      </c>
      <c r="E93" s="24"/>
      <c r="F93" s="24"/>
      <c r="G93" s="23"/>
      <c r="H93" s="23"/>
      <c r="I93" s="23"/>
      <c r="J93" s="11" t="str">
        <f aca="false">IF($B93="","",IF($H93="","Out","Returned"))</f>
        <v/>
      </c>
    </row>
    <row r="94" customFormat="false" ht="15" hidden="false" customHeight="false" outlineLevel="0" collapsed="false">
      <c r="A94" s="23"/>
      <c r="B94" s="23"/>
      <c r="C94" s="10" t="str">
        <f aca="false">IF($B94="","",IFERROR(INDEX(Inventory!$B$2:$B$381,MATCH($B94,Inventory!$A$2:$A$381,0)),"unknown ID"))</f>
        <v/>
      </c>
      <c r="D94" s="11" t="str">
        <f aca="false">IF($B94="","",IFERROR(INDEX(Inventory!$E$2:$E$381,MATCH($B94,Inventory!$A$2:$A$381,0)),""))</f>
        <v/>
      </c>
      <c r="E94" s="24"/>
      <c r="F94" s="24"/>
      <c r="G94" s="23"/>
      <c r="H94" s="23"/>
      <c r="I94" s="23"/>
      <c r="J94" s="11" t="str">
        <f aca="false">IF($B94="","",IF($H94="","Out","Returned"))</f>
        <v/>
      </c>
    </row>
    <row r="95" customFormat="false" ht="15" hidden="false" customHeight="false" outlineLevel="0" collapsed="false">
      <c r="A95" s="23"/>
      <c r="B95" s="23"/>
      <c r="C95" s="10" t="str">
        <f aca="false">IF($B95="","",IFERROR(INDEX(Inventory!$B$2:$B$381,MATCH($B95,Inventory!$A$2:$A$381,0)),"unknown ID"))</f>
        <v/>
      </c>
      <c r="D95" s="11" t="str">
        <f aca="false">IF($B95="","",IFERROR(INDEX(Inventory!$E$2:$E$381,MATCH($B95,Inventory!$A$2:$A$381,0)),""))</f>
        <v/>
      </c>
      <c r="E95" s="24"/>
      <c r="F95" s="24"/>
      <c r="G95" s="23"/>
      <c r="H95" s="23"/>
      <c r="I95" s="23"/>
      <c r="J95" s="11" t="str">
        <f aca="false">IF($B95="","",IF($H95="","Out","Returned"))</f>
        <v/>
      </c>
    </row>
    <row r="96" customFormat="false" ht="15" hidden="false" customHeight="false" outlineLevel="0" collapsed="false">
      <c r="A96" s="23"/>
      <c r="B96" s="23"/>
      <c r="C96" s="10" t="str">
        <f aca="false">IF($B96="","",IFERROR(INDEX(Inventory!$B$2:$B$381,MATCH($B96,Inventory!$A$2:$A$381,0)),"unknown ID"))</f>
        <v/>
      </c>
      <c r="D96" s="11" t="str">
        <f aca="false">IF($B96="","",IFERROR(INDEX(Inventory!$E$2:$E$381,MATCH($B96,Inventory!$A$2:$A$381,0)),""))</f>
        <v/>
      </c>
      <c r="E96" s="24"/>
      <c r="F96" s="24"/>
      <c r="G96" s="23"/>
      <c r="H96" s="23"/>
      <c r="I96" s="23"/>
      <c r="J96" s="11" t="str">
        <f aca="false">IF($B96="","",IF($H96="","Out","Returned"))</f>
        <v/>
      </c>
    </row>
    <row r="97" customFormat="false" ht="15" hidden="false" customHeight="false" outlineLevel="0" collapsed="false">
      <c r="A97" s="23"/>
      <c r="B97" s="23"/>
      <c r="C97" s="10" t="str">
        <f aca="false">IF($B97="","",IFERROR(INDEX(Inventory!$B$2:$B$381,MATCH($B97,Inventory!$A$2:$A$381,0)),"unknown ID"))</f>
        <v/>
      </c>
      <c r="D97" s="11" t="str">
        <f aca="false">IF($B97="","",IFERROR(INDEX(Inventory!$E$2:$E$381,MATCH($B97,Inventory!$A$2:$A$381,0)),""))</f>
        <v/>
      </c>
      <c r="E97" s="24"/>
      <c r="F97" s="24"/>
      <c r="G97" s="23"/>
      <c r="H97" s="23"/>
      <c r="I97" s="23"/>
      <c r="J97" s="11" t="str">
        <f aca="false">IF($B97="","",IF($H97="","Out","Returned"))</f>
        <v/>
      </c>
    </row>
    <row r="98" customFormat="false" ht="15" hidden="false" customHeight="false" outlineLevel="0" collapsed="false">
      <c r="A98" s="23"/>
      <c r="B98" s="23"/>
      <c r="C98" s="10" t="str">
        <f aca="false">IF($B98="","",IFERROR(INDEX(Inventory!$B$2:$B$381,MATCH($B98,Inventory!$A$2:$A$381,0)),"unknown ID"))</f>
        <v/>
      </c>
      <c r="D98" s="11" t="str">
        <f aca="false">IF($B98="","",IFERROR(INDEX(Inventory!$E$2:$E$381,MATCH($B98,Inventory!$A$2:$A$381,0)),""))</f>
        <v/>
      </c>
      <c r="E98" s="24"/>
      <c r="F98" s="24"/>
      <c r="G98" s="23"/>
      <c r="H98" s="23"/>
      <c r="I98" s="23"/>
      <c r="J98" s="11" t="str">
        <f aca="false">IF($B98="","",IF($H98="","Out","Returned"))</f>
        <v/>
      </c>
    </row>
    <row r="99" customFormat="false" ht="15" hidden="false" customHeight="false" outlineLevel="0" collapsed="false">
      <c r="A99" s="23"/>
      <c r="B99" s="23"/>
      <c r="C99" s="10" t="str">
        <f aca="false">IF($B99="","",IFERROR(INDEX(Inventory!$B$2:$B$381,MATCH($B99,Inventory!$A$2:$A$381,0)),"unknown ID"))</f>
        <v/>
      </c>
      <c r="D99" s="11" t="str">
        <f aca="false">IF($B99="","",IFERROR(INDEX(Inventory!$E$2:$E$381,MATCH($B99,Inventory!$A$2:$A$381,0)),""))</f>
        <v/>
      </c>
      <c r="E99" s="24"/>
      <c r="F99" s="24"/>
      <c r="G99" s="23"/>
      <c r="H99" s="23"/>
      <c r="I99" s="23"/>
      <c r="J99" s="11" t="str">
        <f aca="false">IF($B99="","",IF($H99="","Out","Returned"))</f>
        <v/>
      </c>
    </row>
    <row r="100" customFormat="false" ht="15" hidden="false" customHeight="false" outlineLevel="0" collapsed="false">
      <c r="A100" s="23"/>
      <c r="B100" s="23"/>
      <c r="C100" s="10" t="str">
        <f aca="false">IF($B100="","",IFERROR(INDEX(Inventory!$B$2:$B$381,MATCH($B100,Inventory!$A$2:$A$381,0)),"unknown ID"))</f>
        <v/>
      </c>
      <c r="D100" s="11" t="str">
        <f aca="false">IF($B100="","",IFERROR(INDEX(Inventory!$E$2:$E$381,MATCH($B100,Inventory!$A$2:$A$381,0)),""))</f>
        <v/>
      </c>
      <c r="E100" s="24"/>
      <c r="F100" s="24"/>
      <c r="G100" s="23"/>
      <c r="H100" s="23"/>
      <c r="I100" s="23"/>
      <c r="J100" s="11" t="str">
        <f aca="false">IF($B100="","",IF($H100="","Out","Returned"))</f>
        <v/>
      </c>
    </row>
    <row r="101" customFormat="false" ht="15" hidden="false" customHeight="false" outlineLevel="0" collapsed="false">
      <c r="A101" s="23"/>
      <c r="B101" s="23"/>
      <c r="C101" s="10" t="str">
        <f aca="false">IF($B101="","",IFERROR(INDEX(Inventory!$B$2:$B$381,MATCH($B101,Inventory!$A$2:$A$381,0)),"unknown ID"))</f>
        <v/>
      </c>
      <c r="D101" s="11" t="str">
        <f aca="false">IF($B101="","",IFERROR(INDEX(Inventory!$E$2:$E$381,MATCH($B101,Inventory!$A$2:$A$381,0)),""))</f>
        <v/>
      </c>
      <c r="E101" s="24"/>
      <c r="F101" s="24"/>
      <c r="G101" s="23"/>
      <c r="H101" s="23"/>
      <c r="I101" s="23"/>
      <c r="J101" s="11" t="str">
        <f aca="false">IF($B101="","",IF($H101="","Out","Returned"))</f>
        <v/>
      </c>
    </row>
    <row r="102" customFormat="false" ht="15" hidden="false" customHeight="false" outlineLevel="0" collapsed="false">
      <c r="A102" s="23"/>
      <c r="B102" s="23"/>
      <c r="C102" s="10" t="str">
        <f aca="false">IF($B102="","",IFERROR(INDEX(Inventory!$B$2:$B$381,MATCH($B102,Inventory!$A$2:$A$381,0)),"unknown ID"))</f>
        <v/>
      </c>
      <c r="D102" s="11" t="str">
        <f aca="false">IF($B102="","",IFERROR(INDEX(Inventory!$E$2:$E$381,MATCH($B102,Inventory!$A$2:$A$381,0)),""))</f>
        <v/>
      </c>
      <c r="E102" s="24"/>
      <c r="F102" s="24"/>
      <c r="G102" s="23"/>
      <c r="H102" s="23"/>
      <c r="I102" s="23"/>
      <c r="J102" s="11" t="str">
        <f aca="false">IF($B102="","",IF($H102="","Out","Returned"))</f>
        <v/>
      </c>
    </row>
    <row r="103" customFormat="false" ht="15" hidden="false" customHeight="false" outlineLevel="0" collapsed="false">
      <c r="A103" s="23"/>
      <c r="B103" s="23"/>
      <c r="C103" s="10" t="str">
        <f aca="false">IF($B103="","",IFERROR(INDEX(Inventory!$B$2:$B$381,MATCH($B103,Inventory!$A$2:$A$381,0)),"unknown ID"))</f>
        <v/>
      </c>
      <c r="D103" s="11" t="str">
        <f aca="false">IF($B103="","",IFERROR(INDEX(Inventory!$E$2:$E$381,MATCH($B103,Inventory!$A$2:$A$381,0)),""))</f>
        <v/>
      </c>
      <c r="E103" s="24"/>
      <c r="F103" s="24"/>
      <c r="G103" s="23"/>
      <c r="H103" s="23"/>
      <c r="I103" s="23"/>
      <c r="J103" s="11" t="str">
        <f aca="false">IF($B103="","",IF($H103="","Out","Returned"))</f>
        <v/>
      </c>
    </row>
    <row r="104" customFormat="false" ht="15" hidden="false" customHeight="false" outlineLevel="0" collapsed="false">
      <c r="A104" s="23"/>
      <c r="B104" s="23"/>
      <c r="C104" s="10" t="str">
        <f aca="false">IF($B104="","",IFERROR(INDEX(Inventory!$B$2:$B$381,MATCH($B104,Inventory!$A$2:$A$381,0)),"unknown ID"))</f>
        <v/>
      </c>
      <c r="D104" s="11" t="str">
        <f aca="false">IF($B104="","",IFERROR(INDEX(Inventory!$E$2:$E$381,MATCH($B104,Inventory!$A$2:$A$381,0)),""))</f>
        <v/>
      </c>
      <c r="E104" s="24"/>
      <c r="F104" s="24"/>
      <c r="G104" s="23"/>
      <c r="H104" s="23"/>
      <c r="I104" s="23"/>
      <c r="J104" s="11" t="str">
        <f aca="false">IF($B104="","",IF($H104="","Out","Returned"))</f>
        <v/>
      </c>
    </row>
    <row r="105" customFormat="false" ht="15" hidden="false" customHeight="false" outlineLevel="0" collapsed="false">
      <c r="A105" s="23"/>
      <c r="B105" s="23"/>
      <c r="C105" s="10" t="str">
        <f aca="false">IF($B105="","",IFERROR(INDEX(Inventory!$B$2:$B$381,MATCH($B105,Inventory!$A$2:$A$381,0)),"unknown ID"))</f>
        <v/>
      </c>
      <c r="D105" s="11" t="str">
        <f aca="false">IF($B105="","",IFERROR(INDEX(Inventory!$E$2:$E$381,MATCH($B105,Inventory!$A$2:$A$381,0)),""))</f>
        <v/>
      </c>
      <c r="E105" s="24"/>
      <c r="F105" s="24"/>
      <c r="G105" s="23"/>
      <c r="H105" s="23"/>
      <c r="I105" s="23"/>
      <c r="J105" s="11" t="str">
        <f aca="false">IF($B105="","",IF($H105="","Out","Returned"))</f>
        <v/>
      </c>
    </row>
    <row r="106" customFormat="false" ht="15" hidden="false" customHeight="false" outlineLevel="0" collapsed="false">
      <c r="A106" s="23"/>
      <c r="B106" s="23"/>
      <c r="C106" s="10" t="str">
        <f aca="false">IF($B106="","",IFERROR(INDEX(Inventory!$B$2:$B$381,MATCH($B106,Inventory!$A$2:$A$381,0)),"unknown ID"))</f>
        <v/>
      </c>
      <c r="D106" s="11" t="str">
        <f aca="false">IF($B106="","",IFERROR(INDEX(Inventory!$E$2:$E$381,MATCH($B106,Inventory!$A$2:$A$381,0)),""))</f>
        <v/>
      </c>
      <c r="E106" s="24"/>
      <c r="F106" s="24"/>
      <c r="G106" s="23"/>
      <c r="H106" s="23"/>
      <c r="I106" s="23"/>
      <c r="J106" s="11" t="str">
        <f aca="false">IF($B106="","",IF($H106="","Out","Returned"))</f>
        <v/>
      </c>
    </row>
    <row r="107" customFormat="false" ht="15" hidden="false" customHeight="false" outlineLevel="0" collapsed="false">
      <c r="A107" s="23"/>
      <c r="B107" s="23"/>
      <c r="C107" s="10" t="str">
        <f aca="false">IF($B107="","",IFERROR(INDEX(Inventory!$B$2:$B$381,MATCH($B107,Inventory!$A$2:$A$381,0)),"unknown ID"))</f>
        <v/>
      </c>
      <c r="D107" s="11" t="str">
        <f aca="false">IF($B107="","",IFERROR(INDEX(Inventory!$E$2:$E$381,MATCH($B107,Inventory!$A$2:$A$381,0)),""))</f>
        <v/>
      </c>
      <c r="E107" s="24"/>
      <c r="F107" s="24"/>
      <c r="G107" s="23"/>
      <c r="H107" s="23"/>
      <c r="I107" s="23"/>
      <c r="J107" s="11" t="str">
        <f aca="false">IF($B107="","",IF($H107="","Out","Returned"))</f>
        <v/>
      </c>
    </row>
    <row r="108" customFormat="false" ht="15" hidden="false" customHeight="false" outlineLevel="0" collapsed="false">
      <c r="A108" s="23"/>
      <c r="B108" s="23"/>
      <c r="C108" s="10" t="str">
        <f aca="false">IF($B108="","",IFERROR(INDEX(Inventory!$B$2:$B$381,MATCH($B108,Inventory!$A$2:$A$381,0)),"unknown ID"))</f>
        <v/>
      </c>
      <c r="D108" s="11" t="str">
        <f aca="false">IF($B108="","",IFERROR(INDEX(Inventory!$E$2:$E$381,MATCH($B108,Inventory!$A$2:$A$381,0)),""))</f>
        <v/>
      </c>
      <c r="E108" s="24"/>
      <c r="F108" s="24"/>
      <c r="G108" s="23"/>
      <c r="H108" s="23"/>
      <c r="I108" s="23"/>
      <c r="J108" s="11" t="str">
        <f aca="false">IF($B108="","",IF($H108="","Out","Returned"))</f>
        <v/>
      </c>
    </row>
    <row r="109" customFormat="false" ht="15" hidden="false" customHeight="false" outlineLevel="0" collapsed="false">
      <c r="A109" s="23"/>
      <c r="B109" s="23"/>
      <c r="C109" s="10" t="str">
        <f aca="false">IF($B109="","",IFERROR(INDEX(Inventory!$B$2:$B$381,MATCH($B109,Inventory!$A$2:$A$381,0)),"unknown ID"))</f>
        <v/>
      </c>
      <c r="D109" s="11" t="str">
        <f aca="false">IF($B109="","",IFERROR(INDEX(Inventory!$E$2:$E$381,MATCH($B109,Inventory!$A$2:$A$381,0)),""))</f>
        <v/>
      </c>
      <c r="E109" s="24"/>
      <c r="F109" s="24"/>
      <c r="G109" s="23"/>
      <c r="H109" s="23"/>
      <c r="I109" s="23"/>
      <c r="J109" s="11" t="str">
        <f aca="false">IF($B109="","",IF($H109="","Out","Returned"))</f>
        <v/>
      </c>
    </row>
    <row r="110" customFormat="false" ht="15" hidden="false" customHeight="false" outlineLevel="0" collapsed="false">
      <c r="A110" s="23"/>
      <c r="B110" s="23"/>
      <c r="C110" s="10" t="str">
        <f aca="false">IF($B110="","",IFERROR(INDEX(Inventory!$B$2:$B$381,MATCH($B110,Inventory!$A$2:$A$381,0)),"unknown ID"))</f>
        <v/>
      </c>
      <c r="D110" s="11" t="str">
        <f aca="false">IF($B110="","",IFERROR(INDEX(Inventory!$E$2:$E$381,MATCH($B110,Inventory!$A$2:$A$381,0)),""))</f>
        <v/>
      </c>
      <c r="E110" s="24"/>
      <c r="F110" s="24"/>
      <c r="G110" s="23"/>
      <c r="H110" s="23"/>
      <c r="I110" s="23"/>
      <c r="J110" s="11" t="str">
        <f aca="false">IF($B110="","",IF($H110="","Out","Returned"))</f>
        <v/>
      </c>
    </row>
    <row r="111" customFormat="false" ht="15" hidden="false" customHeight="false" outlineLevel="0" collapsed="false">
      <c r="A111" s="23"/>
      <c r="B111" s="23"/>
      <c r="C111" s="10" t="str">
        <f aca="false">IF($B111="","",IFERROR(INDEX(Inventory!$B$2:$B$381,MATCH($B111,Inventory!$A$2:$A$381,0)),"unknown ID"))</f>
        <v/>
      </c>
      <c r="D111" s="11" t="str">
        <f aca="false">IF($B111="","",IFERROR(INDEX(Inventory!$E$2:$E$381,MATCH($B111,Inventory!$A$2:$A$381,0)),""))</f>
        <v/>
      </c>
      <c r="E111" s="24"/>
      <c r="F111" s="24"/>
      <c r="G111" s="23"/>
      <c r="H111" s="23"/>
      <c r="I111" s="23"/>
      <c r="J111" s="11" t="str">
        <f aca="false">IF($B111="","",IF($H111="","Out","Returned"))</f>
        <v/>
      </c>
    </row>
    <row r="112" customFormat="false" ht="15" hidden="false" customHeight="false" outlineLevel="0" collapsed="false">
      <c r="A112" s="23"/>
      <c r="B112" s="23"/>
      <c r="C112" s="10" t="str">
        <f aca="false">IF($B112="","",IFERROR(INDEX(Inventory!$B$2:$B$381,MATCH($B112,Inventory!$A$2:$A$381,0)),"unknown ID"))</f>
        <v/>
      </c>
      <c r="D112" s="11" t="str">
        <f aca="false">IF($B112="","",IFERROR(INDEX(Inventory!$E$2:$E$381,MATCH($B112,Inventory!$A$2:$A$381,0)),""))</f>
        <v/>
      </c>
      <c r="E112" s="24"/>
      <c r="F112" s="24"/>
      <c r="G112" s="23"/>
      <c r="H112" s="23"/>
      <c r="I112" s="23"/>
      <c r="J112" s="11" t="str">
        <f aca="false">IF($B112="","",IF($H112="","Out","Returned"))</f>
        <v/>
      </c>
    </row>
    <row r="113" customFormat="false" ht="15" hidden="false" customHeight="false" outlineLevel="0" collapsed="false">
      <c r="A113" s="23"/>
      <c r="B113" s="23"/>
      <c r="C113" s="10" t="str">
        <f aca="false">IF($B113="","",IFERROR(INDEX(Inventory!$B$2:$B$381,MATCH($B113,Inventory!$A$2:$A$381,0)),"unknown ID"))</f>
        <v/>
      </c>
      <c r="D113" s="11" t="str">
        <f aca="false">IF($B113="","",IFERROR(INDEX(Inventory!$E$2:$E$381,MATCH($B113,Inventory!$A$2:$A$381,0)),""))</f>
        <v/>
      </c>
      <c r="E113" s="24"/>
      <c r="F113" s="24"/>
      <c r="G113" s="23"/>
      <c r="H113" s="23"/>
      <c r="I113" s="23"/>
      <c r="J113" s="11" t="str">
        <f aca="false">IF($B113="","",IF($H113="","Out","Returned"))</f>
        <v/>
      </c>
    </row>
    <row r="114" customFormat="false" ht="15" hidden="false" customHeight="false" outlineLevel="0" collapsed="false">
      <c r="A114" s="23"/>
      <c r="B114" s="23"/>
      <c r="C114" s="10" t="str">
        <f aca="false">IF($B114="","",IFERROR(INDEX(Inventory!$B$2:$B$381,MATCH($B114,Inventory!$A$2:$A$381,0)),"unknown ID"))</f>
        <v/>
      </c>
      <c r="D114" s="11" t="str">
        <f aca="false">IF($B114="","",IFERROR(INDEX(Inventory!$E$2:$E$381,MATCH($B114,Inventory!$A$2:$A$381,0)),""))</f>
        <v/>
      </c>
      <c r="E114" s="24"/>
      <c r="F114" s="24"/>
      <c r="G114" s="23"/>
      <c r="H114" s="23"/>
      <c r="I114" s="23"/>
      <c r="J114" s="11" t="str">
        <f aca="false">IF($B114="","",IF($H114="","Out","Returned"))</f>
        <v/>
      </c>
    </row>
    <row r="115" customFormat="false" ht="15" hidden="false" customHeight="false" outlineLevel="0" collapsed="false">
      <c r="A115" s="23"/>
      <c r="B115" s="23"/>
      <c r="C115" s="10" t="str">
        <f aca="false">IF($B115="","",IFERROR(INDEX(Inventory!$B$2:$B$381,MATCH($B115,Inventory!$A$2:$A$381,0)),"unknown ID"))</f>
        <v/>
      </c>
      <c r="D115" s="11" t="str">
        <f aca="false">IF($B115="","",IFERROR(INDEX(Inventory!$E$2:$E$381,MATCH($B115,Inventory!$A$2:$A$381,0)),""))</f>
        <v/>
      </c>
      <c r="E115" s="24"/>
      <c r="F115" s="24"/>
      <c r="G115" s="23"/>
      <c r="H115" s="23"/>
      <c r="I115" s="23"/>
      <c r="J115" s="11" t="str">
        <f aca="false">IF($B115="","",IF($H115="","Out","Returned"))</f>
        <v/>
      </c>
    </row>
    <row r="116" customFormat="false" ht="15" hidden="false" customHeight="false" outlineLevel="0" collapsed="false">
      <c r="A116" s="23"/>
      <c r="B116" s="23"/>
      <c r="C116" s="10" t="str">
        <f aca="false">IF($B116="","",IFERROR(INDEX(Inventory!$B$2:$B$381,MATCH($B116,Inventory!$A$2:$A$381,0)),"unknown ID"))</f>
        <v/>
      </c>
      <c r="D116" s="11" t="str">
        <f aca="false">IF($B116="","",IFERROR(INDEX(Inventory!$E$2:$E$381,MATCH($B116,Inventory!$A$2:$A$381,0)),""))</f>
        <v/>
      </c>
      <c r="E116" s="24"/>
      <c r="F116" s="24"/>
      <c r="G116" s="23"/>
      <c r="H116" s="23"/>
      <c r="I116" s="23"/>
      <c r="J116" s="11" t="str">
        <f aca="false">IF($B116="","",IF($H116="","Out","Returned"))</f>
        <v/>
      </c>
    </row>
    <row r="117" customFormat="false" ht="15" hidden="false" customHeight="false" outlineLevel="0" collapsed="false">
      <c r="A117" s="23"/>
      <c r="B117" s="23"/>
      <c r="C117" s="10" t="str">
        <f aca="false">IF($B117="","",IFERROR(INDEX(Inventory!$B$2:$B$381,MATCH($B117,Inventory!$A$2:$A$381,0)),"unknown ID"))</f>
        <v/>
      </c>
      <c r="D117" s="11" t="str">
        <f aca="false">IF($B117="","",IFERROR(INDEX(Inventory!$E$2:$E$381,MATCH($B117,Inventory!$A$2:$A$381,0)),""))</f>
        <v/>
      </c>
      <c r="E117" s="24"/>
      <c r="F117" s="24"/>
      <c r="G117" s="23"/>
      <c r="H117" s="23"/>
      <c r="I117" s="23"/>
      <c r="J117" s="11" t="str">
        <f aca="false">IF($B117="","",IF($H117="","Out","Returned"))</f>
        <v/>
      </c>
    </row>
    <row r="118" customFormat="false" ht="15" hidden="false" customHeight="false" outlineLevel="0" collapsed="false">
      <c r="A118" s="23"/>
      <c r="B118" s="23"/>
      <c r="C118" s="10" t="str">
        <f aca="false">IF($B118="","",IFERROR(INDEX(Inventory!$B$2:$B$381,MATCH($B118,Inventory!$A$2:$A$381,0)),"unknown ID"))</f>
        <v/>
      </c>
      <c r="D118" s="11" t="str">
        <f aca="false">IF($B118="","",IFERROR(INDEX(Inventory!$E$2:$E$381,MATCH($B118,Inventory!$A$2:$A$381,0)),""))</f>
        <v/>
      </c>
      <c r="E118" s="24"/>
      <c r="F118" s="24"/>
      <c r="G118" s="23"/>
      <c r="H118" s="23"/>
      <c r="I118" s="23"/>
      <c r="J118" s="11" t="str">
        <f aca="false">IF($B118="","",IF($H118="","Out","Returned"))</f>
        <v/>
      </c>
    </row>
    <row r="119" customFormat="false" ht="15" hidden="false" customHeight="false" outlineLevel="0" collapsed="false">
      <c r="A119" s="23"/>
      <c r="B119" s="23"/>
      <c r="C119" s="10" t="str">
        <f aca="false">IF($B119="","",IFERROR(INDEX(Inventory!$B$2:$B$381,MATCH($B119,Inventory!$A$2:$A$381,0)),"unknown ID"))</f>
        <v/>
      </c>
      <c r="D119" s="11" t="str">
        <f aca="false">IF($B119="","",IFERROR(INDEX(Inventory!$E$2:$E$381,MATCH($B119,Inventory!$A$2:$A$381,0)),""))</f>
        <v/>
      </c>
      <c r="E119" s="24"/>
      <c r="F119" s="24"/>
      <c r="G119" s="23"/>
      <c r="H119" s="23"/>
      <c r="I119" s="23"/>
      <c r="J119" s="11" t="str">
        <f aca="false">IF($B119="","",IF($H119="","Out","Returned"))</f>
        <v/>
      </c>
    </row>
    <row r="120" customFormat="false" ht="15" hidden="false" customHeight="false" outlineLevel="0" collapsed="false">
      <c r="A120" s="23"/>
      <c r="B120" s="23"/>
      <c r="C120" s="10" t="str">
        <f aca="false">IF($B120="","",IFERROR(INDEX(Inventory!$B$2:$B$381,MATCH($B120,Inventory!$A$2:$A$381,0)),"unknown ID"))</f>
        <v/>
      </c>
      <c r="D120" s="11" t="str">
        <f aca="false">IF($B120="","",IFERROR(INDEX(Inventory!$E$2:$E$381,MATCH($B120,Inventory!$A$2:$A$381,0)),""))</f>
        <v/>
      </c>
      <c r="E120" s="24"/>
      <c r="F120" s="24"/>
      <c r="G120" s="23"/>
      <c r="H120" s="23"/>
      <c r="I120" s="23"/>
      <c r="J120" s="11" t="str">
        <f aca="false">IF($B120="","",IF($H120="","Out","Returned"))</f>
        <v/>
      </c>
    </row>
    <row r="121" customFormat="false" ht="15" hidden="false" customHeight="false" outlineLevel="0" collapsed="false">
      <c r="A121" s="23"/>
      <c r="B121" s="23"/>
      <c r="C121" s="10" t="str">
        <f aca="false">IF($B121="","",IFERROR(INDEX(Inventory!$B$2:$B$381,MATCH($B121,Inventory!$A$2:$A$381,0)),"unknown ID"))</f>
        <v/>
      </c>
      <c r="D121" s="11" t="str">
        <f aca="false">IF($B121="","",IFERROR(INDEX(Inventory!$E$2:$E$381,MATCH($B121,Inventory!$A$2:$A$381,0)),""))</f>
        <v/>
      </c>
      <c r="E121" s="24"/>
      <c r="F121" s="24"/>
      <c r="G121" s="23"/>
      <c r="H121" s="23"/>
      <c r="I121" s="23"/>
      <c r="J121" s="11" t="str">
        <f aca="false">IF($B121="","",IF($H121="","Out","Returned"))</f>
        <v/>
      </c>
    </row>
    <row r="122" customFormat="false" ht="15" hidden="false" customHeight="false" outlineLevel="0" collapsed="false">
      <c r="A122" s="23"/>
      <c r="B122" s="23"/>
      <c r="C122" s="10" t="str">
        <f aca="false">IF($B122="","",IFERROR(INDEX(Inventory!$B$2:$B$381,MATCH($B122,Inventory!$A$2:$A$381,0)),"unknown ID"))</f>
        <v/>
      </c>
      <c r="D122" s="11" t="str">
        <f aca="false">IF($B122="","",IFERROR(INDEX(Inventory!$E$2:$E$381,MATCH($B122,Inventory!$A$2:$A$381,0)),""))</f>
        <v/>
      </c>
      <c r="E122" s="24"/>
      <c r="F122" s="24"/>
      <c r="G122" s="23"/>
      <c r="H122" s="23"/>
      <c r="I122" s="23"/>
      <c r="J122" s="11" t="str">
        <f aca="false">IF($B122="","",IF($H122="","Out","Returned"))</f>
        <v/>
      </c>
    </row>
    <row r="123" customFormat="false" ht="15" hidden="false" customHeight="false" outlineLevel="0" collapsed="false">
      <c r="A123" s="23"/>
      <c r="B123" s="23"/>
      <c r="C123" s="10" t="str">
        <f aca="false">IF($B123="","",IFERROR(INDEX(Inventory!$B$2:$B$381,MATCH($B123,Inventory!$A$2:$A$381,0)),"unknown ID"))</f>
        <v/>
      </c>
      <c r="D123" s="11" t="str">
        <f aca="false">IF($B123="","",IFERROR(INDEX(Inventory!$E$2:$E$381,MATCH($B123,Inventory!$A$2:$A$381,0)),""))</f>
        <v/>
      </c>
      <c r="E123" s="24"/>
      <c r="F123" s="24"/>
      <c r="G123" s="23"/>
      <c r="H123" s="23"/>
      <c r="I123" s="23"/>
      <c r="J123" s="11" t="str">
        <f aca="false">IF($B123="","",IF($H123="","Out","Returned"))</f>
        <v/>
      </c>
    </row>
    <row r="124" customFormat="false" ht="15" hidden="false" customHeight="false" outlineLevel="0" collapsed="false">
      <c r="A124" s="23"/>
      <c r="B124" s="23"/>
      <c r="C124" s="10" t="str">
        <f aca="false">IF($B124="","",IFERROR(INDEX(Inventory!$B$2:$B$381,MATCH($B124,Inventory!$A$2:$A$381,0)),"unknown ID"))</f>
        <v/>
      </c>
      <c r="D124" s="11" t="str">
        <f aca="false">IF($B124="","",IFERROR(INDEX(Inventory!$E$2:$E$381,MATCH($B124,Inventory!$A$2:$A$381,0)),""))</f>
        <v/>
      </c>
      <c r="E124" s="24"/>
      <c r="F124" s="24"/>
      <c r="G124" s="23"/>
      <c r="H124" s="23"/>
      <c r="I124" s="23"/>
      <c r="J124" s="11" t="str">
        <f aca="false">IF($B124="","",IF($H124="","Out","Returned"))</f>
        <v/>
      </c>
    </row>
    <row r="125" customFormat="false" ht="15" hidden="false" customHeight="false" outlineLevel="0" collapsed="false">
      <c r="A125" s="23"/>
      <c r="B125" s="23"/>
      <c r="C125" s="10" t="str">
        <f aca="false">IF($B125="","",IFERROR(INDEX(Inventory!$B$2:$B$381,MATCH($B125,Inventory!$A$2:$A$381,0)),"unknown ID"))</f>
        <v/>
      </c>
      <c r="D125" s="11" t="str">
        <f aca="false">IF($B125="","",IFERROR(INDEX(Inventory!$E$2:$E$381,MATCH($B125,Inventory!$A$2:$A$381,0)),""))</f>
        <v/>
      </c>
      <c r="E125" s="24"/>
      <c r="F125" s="24"/>
      <c r="G125" s="23"/>
      <c r="H125" s="23"/>
      <c r="I125" s="23"/>
      <c r="J125" s="11" t="str">
        <f aca="false">IF($B125="","",IF($H125="","Out","Returned"))</f>
        <v/>
      </c>
    </row>
    <row r="126" customFormat="false" ht="15" hidden="false" customHeight="false" outlineLevel="0" collapsed="false">
      <c r="A126" s="23"/>
      <c r="B126" s="23"/>
      <c r="C126" s="10" t="str">
        <f aca="false">IF($B126="","",IFERROR(INDEX(Inventory!$B$2:$B$381,MATCH($B126,Inventory!$A$2:$A$381,0)),"unknown ID"))</f>
        <v/>
      </c>
      <c r="D126" s="11" t="str">
        <f aca="false">IF($B126="","",IFERROR(INDEX(Inventory!$E$2:$E$381,MATCH($B126,Inventory!$A$2:$A$381,0)),""))</f>
        <v/>
      </c>
      <c r="E126" s="24"/>
      <c r="F126" s="24"/>
      <c r="G126" s="23"/>
      <c r="H126" s="23"/>
      <c r="I126" s="23"/>
      <c r="J126" s="11" t="str">
        <f aca="false">IF($B126="","",IF($H126="","Out","Returned"))</f>
        <v/>
      </c>
    </row>
    <row r="127" customFormat="false" ht="15" hidden="false" customHeight="false" outlineLevel="0" collapsed="false">
      <c r="A127" s="23"/>
      <c r="B127" s="23"/>
      <c r="C127" s="10" t="str">
        <f aca="false">IF($B127="","",IFERROR(INDEX(Inventory!$B$2:$B$381,MATCH($B127,Inventory!$A$2:$A$381,0)),"unknown ID"))</f>
        <v/>
      </c>
      <c r="D127" s="11" t="str">
        <f aca="false">IF($B127="","",IFERROR(INDEX(Inventory!$E$2:$E$381,MATCH($B127,Inventory!$A$2:$A$381,0)),""))</f>
        <v/>
      </c>
      <c r="E127" s="24"/>
      <c r="F127" s="24"/>
      <c r="G127" s="23"/>
      <c r="H127" s="23"/>
      <c r="I127" s="23"/>
      <c r="J127" s="11" t="str">
        <f aca="false">IF($B127="","",IF($H127="","Out","Returned"))</f>
        <v/>
      </c>
    </row>
    <row r="128" customFormat="false" ht="15" hidden="false" customHeight="false" outlineLevel="0" collapsed="false">
      <c r="A128" s="23"/>
      <c r="B128" s="23"/>
      <c r="C128" s="10" t="str">
        <f aca="false">IF($B128="","",IFERROR(INDEX(Inventory!$B$2:$B$381,MATCH($B128,Inventory!$A$2:$A$381,0)),"unknown ID"))</f>
        <v/>
      </c>
      <c r="D128" s="11" t="str">
        <f aca="false">IF($B128="","",IFERROR(INDEX(Inventory!$E$2:$E$381,MATCH($B128,Inventory!$A$2:$A$381,0)),""))</f>
        <v/>
      </c>
      <c r="E128" s="24"/>
      <c r="F128" s="24"/>
      <c r="G128" s="23"/>
      <c r="H128" s="23"/>
      <c r="I128" s="23"/>
      <c r="J128" s="11" t="str">
        <f aca="false">IF($B128="","",IF($H128="","Out","Returned"))</f>
        <v/>
      </c>
    </row>
    <row r="129" customFormat="false" ht="15" hidden="false" customHeight="false" outlineLevel="0" collapsed="false">
      <c r="A129" s="23"/>
      <c r="B129" s="23"/>
      <c r="C129" s="10" t="str">
        <f aca="false">IF($B129="","",IFERROR(INDEX(Inventory!$B$2:$B$381,MATCH($B129,Inventory!$A$2:$A$381,0)),"unknown ID"))</f>
        <v/>
      </c>
      <c r="D129" s="11" t="str">
        <f aca="false">IF($B129="","",IFERROR(INDEX(Inventory!$E$2:$E$381,MATCH($B129,Inventory!$A$2:$A$381,0)),""))</f>
        <v/>
      </c>
      <c r="E129" s="24"/>
      <c r="F129" s="24"/>
      <c r="G129" s="23"/>
      <c r="H129" s="23"/>
      <c r="I129" s="23"/>
      <c r="J129" s="11" t="str">
        <f aca="false">IF($B129="","",IF($H129="","Out","Returned"))</f>
        <v/>
      </c>
    </row>
    <row r="130" customFormat="false" ht="15" hidden="false" customHeight="false" outlineLevel="0" collapsed="false">
      <c r="A130" s="23"/>
      <c r="B130" s="23"/>
      <c r="C130" s="10" t="str">
        <f aca="false">IF($B130="","",IFERROR(INDEX(Inventory!$B$2:$B$381,MATCH($B130,Inventory!$A$2:$A$381,0)),"unknown ID"))</f>
        <v/>
      </c>
      <c r="D130" s="11" t="str">
        <f aca="false">IF($B130="","",IFERROR(INDEX(Inventory!$E$2:$E$381,MATCH($B130,Inventory!$A$2:$A$381,0)),""))</f>
        <v/>
      </c>
      <c r="E130" s="24"/>
      <c r="F130" s="24"/>
      <c r="G130" s="23"/>
      <c r="H130" s="23"/>
      <c r="I130" s="23"/>
      <c r="J130" s="11" t="str">
        <f aca="false">IF($B130="","",IF($H130="","Out","Returned"))</f>
        <v/>
      </c>
    </row>
    <row r="131" customFormat="false" ht="15" hidden="false" customHeight="false" outlineLevel="0" collapsed="false">
      <c r="A131" s="23"/>
      <c r="B131" s="23"/>
      <c r="C131" s="10" t="str">
        <f aca="false">IF($B131="","",IFERROR(INDEX(Inventory!$B$2:$B$381,MATCH($B131,Inventory!$A$2:$A$381,0)),"unknown ID"))</f>
        <v/>
      </c>
      <c r="D131" s="11" t="str">
        <f aca="false">IF($B131="","",IFERROR(INDEX(Inventory!$E$2:$E$381,MATCH($B131,Inventory!$A$2:$A$381,0)),""))</f>
        <v/>
      </c>
      <c r="E131" s="24"/>
      <c r="F131" s="24"/>
      <c r="G131" s="23"/>
      <c r="H131" s="23"/>
      <c r="I131" s="23"/>
      <c r="J131" s="11" t="str">
        <f aca="false">IF($B131="","",IF($H131="","Out","Returned"))</f>
        <v/>
      </c>
    </row>
    <row r="132" customFormat="false" ht="15" hidden="false" customHeight="false" outlineLevel="0" collapsed="false">
      <c r="A132" s="23"/>
      <c r="B132" s="23"/>
      <c r="C132" s="10" t="str">
        <f aca="false">IF($B132="","",IFERROR(INDEX(Inventory!$B$2:$B$381,MATCH($B132,Inventory!$A$2:$A$381,0)),"unknown ID"))</f>
        <v/>
      </c>
      <c r="D132" s="11" t="str">
        <f aca="false">IF($B132="","",IFERROR(INDEX(Inventory!$E$2:$E$381,MATCH($B132,Inventory!$A$2:$A$381,0)),""))</f>
        <v/>
      </c>
      <c r="E132" s="24"/>
      <c r="F132" s="24"/>
      <c r="G132" s="23"/>
      <c r="H132" s="23"/>
      <c r="I132" s="23"/>
      <c r="J132" s="11" t="str">
        <f aca="false">IF($B132="","",IF($H132="","Out","Returned"))</f>
        <v/>
      </c>
    </row>
    <row r="133" customFormat="false" ht="15" hidden="false" customHeight="false" outlineLevel="0" collapsed="false">
      <c r="A133" s="23"/>
      <c r="B133" s="23"/>
      <c r="C133" s="10" t="str">
        <f aca="false">IF($B133="","",IFERROR(INDEX(Inventory!$B$2:$B$381,MATCH($B133,Inventory!$A$2:$A$381,0)),"unknown ID"))</f>
        <v/>
      </c>
      <c r="D133" s="11" t="str">
        <f aca="false">IF($B133="","",IFERROR(INDEX(Inventory!$E$2:$E$381,MATCH($B133,Inventory!$A$2:$A$381,0)),""))</f>
        <v/>
      </c>
      <c r="E133" s="24"/>
      <c r="F133" s="24"/>
      <c r="G133" s="23"/>
      <c r="H133" s="23"/>
      <c r="I133" s="23"/>
      <c r="J133" s="11" t="str">
        <f aca="false">IF($B133="","",IF($H133="","Out","Returned"))</f>
        <v/>
      </c>
    </row>
    <row r="134" customFormat="false" ht="15" hidden="false" customHeight="false" outlineLevel="0" collapsed="false">
      <c r="A134" s="23"/>
      <c r="B134" s="23"/>
      <c r="C134" s="10" t="str">
        <f aca="false">IF($B134="","",IFERROR(INDEX(Inventory!$B$2:$B$381,MATCH($B134,Inventory!$A$2:$A$381,0)),"unknown ID"))</f>
        <v/>
      </c>
      <c r="D134" s="11" t="str">
        <f aca="false">IF($B134="","",IFERROR(INDEX(Inventory!$E$2:$E$381,MATCH($B134,Inventory!$A$2:$A$381,0)),""))</f>
        <v/>
      </c>
      <c r="E134" s="24"/>
      <c r="F134" s="24"/>
      <c r="G134" s="23"/>
      <c r="H134" s="23"/>
      <c r="I134" s="23"/>
      <c r="J134" s="11" t="str">
        <f aca="false">IF($B134="","",IF($H134="","Out","Returned"))</f>
        <v/>
      </c>
    </row>
    <row r="135" customFormat="false" ht="15" hidden="false" customHeight="false" outlineLevel="0" collapsed="false">
      <c r="A135" s="23"/>
      <c r="B135" s="23"/>
      <c r="C135" s="10" t="str">
        <f aca="false">IF($B135="","",IFERROR(INDEX(Inventory!$B$2:$B$381,MATCH($B135,Inventory!$A$2:$A$381,0)),"unknown ID"))</f>
        <v/>
      </c>
      <c r="D135" s="11" t="str">
        <f aca="false">IF($B135="","",IFERROR(INDEX(Inventory!$E$2:$E$381,MATCH($B135,Inventory!$A$2:$A$381,0)),""))</f>
        <v/>
      </c>
      <c r="E135" s="24"/>
      <c r="F135" s="24"/>
      <c r="G135" s="23"/>
      <c r="H135" s="23"/>
      <c r="I135" s="23"/>
      <c r="J135" s="11" t="str">
        <f aca="false">IF($B135="","",IF($H135="","Out","Returned"))</f>
        <v/>
      </c>
    </row>
    <row r="136" customFormat="false" ht="15" hidden="false" customHeight="false" outlineLevel="0" collapsed="false">
      <c r="A136" s="23"/>
      <c r="B136" s="23"/>
      <c r="C136" s="10" t="str">
        <f aca="false">IF($B136="","",IFERROR(INDEX(Inventory!$B$2:$B$381,MATCH($B136,Inventory!$A$2:$A$381,0)),"unknown ID"))</f>
        <v/>
      </c>
      <c r="D136" s="11" t="str">
        <f aca="false">IF($B136="","",IFERROR(INDEX(Inventory!$E$2:$E$381,MATCH($B136,Inventory!$A$2:$A$381,0)),""))</f>
        <v/>
      </c>
      <c r="E136" s="24"/>
      <c r="F136" s="24"/>
      <c r="G136" s="23"/>
      <c r="H136" s="23"/>
      <c r="I136" s="23"/>
      <c r="J136" s="11" t="str">
        <f aca="false">IF($B136="","",IF($H136="","Out","Returned"))</f>
        <v/>
      </c>
    </row>
    <row r="137" customFormat="false" ht="15" hidden="false" customHeight="false" outlineLevel="0" collapsed="false">
      <c r="A137" s="23"/>
      <c r="B137" s="23"/>
      <c r="C137" s="10" t="str">
        <f aca="false">IF($B137="","",IFERROR(INDEX(Inventory!$B$2:$B$381,MATCH($B137,Inventory!$A$2:$A$381,0)),"unknown ID"))</f>
        <v/>
      </c>
      <c r="D137" s="11" t="str">
        <f aca="false">IF($B137="","",IFERROR(INDEX(Inventory!$E$2:$E$381,MATCH($B137,Inventory!$A$2:$A$381,0)),""))</f>
        <v/>
      </c>
      <c r="E137" s="24"/>
      <c r="F137" s="24"/>
      <c r="G137" s="23"/>
      <c r="H137" s="23"/>
      <c r="I137" s="23"/>
      <c r="J137" s="11" t="str">
        <f aca="false">IF($B137="","",IF($H137="","Out","Returned"))</f>
        <v/>
      </c>
    </row>
    <row r="138" customFormat="false" ht="15" hidden="false" customHeight="false" outlineLevel="0" collapsed="false">
      <c r="A138" s="23"/>
      <c r="B138" s="23"/>
      <c r="C138" s="10" t="str">
        <f aca="false">IF($B138="","",IFERROR(INDEX(Inventory!$B$2:$B$381,MATCH($B138,Inventory!$A$2:$A$381,0)),"unknown ID"))</f>
        <v/>
      </c>
      <c r="D138" s="11" t="str">
        <f aca="false">IF($B138="","",IFERROR(INDEX(Inventory!$E$2:$E$381,MATCH($B138,Inventory!$A$2:$A$381,0)),""))</f>
        <v/>
      </c>
      <c r="E138" s="24"/>
      <c r="F138" s="24"/>
      <c r="G138" s="23"/>
      <c r="H138" s="23"/>
      <c r="I138" s="23"/>
      <c r="J138" s="11" t="str">
        <f aca="false">IF($B138="","",IF($H138="","Out","Returned"))</f>
        <v/>
      </c>
    </row>
    <row r="139" customFormat="false" ht="15" hidden="false" customHeight="false" outlineLevel="0" collapsed="false">
      <c r="A139" s="23"/>
      <c r="B139" s="23"/>
      <c r="C139" s="10" t="str">
        <f aca="false">IF($B139="","",IFERROR(INDEX(Inventory!$B$2:$B$381,MATCH($B139,Inventory!$A$2:$A$381,0)),"unknown ID"))</f>
        <v/>
      </c>
      <c r="D139" s="11" t="str">
        <f aca="false">IF($B139="","",IFERROR(INDEX(Inventory!$E$2:$E$381,MATCH($B139,Inventory!$A$2:$A$381,0)),""))</f>
        <v/>
      </c>
      <c r="E139" s="24"/>
      <c r="F139" s="24"/>
      <c r="G139" s="23"/>
      <c r="H139" s="23"/>
      <c r="I139" s="23"/>
      <c r="J139" s="11" t="str">
        <f aca="false">IF($B139="","",IF($H139="","Out","Returned"))</f>
        <v/>
      </c>
    </row>
    <row r="140" customFormat="false" ht="15" hidden="false" customHeight="false" outlineLevel="0" collapsed="false">
      <c r="A140" s="23"/>
      <c r="B140" s="23"/>
      <c r="C140" s="10" t="str">
        <f aca="false">IF($B140="","",IFERROR(INDEX(Inventory!$B$2:$B$381,MATCH($B140,Inventory!$A$2:$A$381,0)),"unknown ID"))</f>
        <v/>
      </c>
      <c r="D140" s="11" t="str">
        <f aca="false">IF($B140="","",IFERROR(INDEX(Inventory!$E$2:$E$381,MATCH($B140,Inventory!$A$2:$A$381,0)),""))</f>
        <v/>
      </c>
      <c r="E140" s="24"/>
      <c r="F140" s="24"/>
      <c r="G140" s="23"/>
      <c r="H140" s="23"/>
      <c r="I140" s="23"/>
      <c r="J140" s="11" t="str">
        <f aca="false">IF($B140="","",IF($H140="","Out","Returned"))</f>
        <v/>
      </c>
    </row>
    <row r="141" customFormat="false" ht="15" hidden="false" customHeight="false" outlineLevel="0" collapsed="false">
      <c r="A141" s="23"/>
      <c r="B141" s="23"/>
      <c r="C141" s="10" t="str">
        <f aca="false">IF($B141="","",IFERROR(INDEX(Inventory!$B$2:$B$381,MATCH($B141,Inventory!$A$2:$A$381,0)),"unknown ID"))</f>
        <v/>
      </c>
      <c r="D141" s="11" t="str">
        <f aca="false">IF($B141="","",IFERROR(INDEX(Inventory!$E$2:$E$381,MATCH($B141,Inventory!$A$2:$A$381,0)),""))</f>
        <v/>
      </c>
      <c r="E141" s="24"/>
      <c r="F141" s="24"/>
      <c r="G141" s="23"/>
      <c r="H141" s="23"/>
      <c r="I141" s="23"/>
      <c r="J141" s="11" t="str">
        <f aca="false">IF($B141="","",IF($H141="","Out","Returned"))</f>
        <v/>
      </c>
    </row>
    <row r="142" customFormat="false" ht="15" hidden="false" customHeight="false" outlineLevel="0" collapsed="false">
      <c r="A142" s="23"/>
      <c r="B142" s="23"/>
      <c r="C142" s="10" t="str">
        <f aca="false">IF($B142="","",IFERROR(INDEX(Inventory!$B$2:$B$381,MATCH($B142,Inventory!$A$2:$A$381,0)),"unknown ID"))</f>
        <v/>
      </c>
      <c r="D142" s="11" t="str">
        <f aca="false">IF($B142="","",IFERROR(INDEX(Inventory!$E$2:$E$381,MATCH($B142,Inventory!$A$2:$A$381,0)),""))</f>
        <v/>
      </c>
      <c r="E142" s="24"/>
      <c r="F142" s="24"/>
      <c r="G142" s="23"/>
      <c r="H142" s="23"/>
      <c r="I142" s="23"/>
      <c r="J142" s="11" t="str">
        <f aca="false">IF($B142="","",IF($H142="","Out","Returned"))</f>
        <v/>
      </c>
    </row>
    <row r="143" customFormat="false" ht="15" hidden="false" customHeight="false" outlineLevel="0" collapsed="false">
      <c r="A143" s="23"/>
      <c r="B143" s="23"/>
      <c r="C143" s="10" t="str">
        <f aca="false">IF($B143="","",IFERROR(INDEX(Inventory!$B$2:$B$381,MATCH($B143,Inventory!$A$2:$A$381,0)),"unknown ID"))</f>
        <v/>
      </c>
      <c r="D143" s="11" t="str">
        <f aca="false">IF($B143="","",IFERROR(INDEX(Inventory!$E$2:$E$381,MATCH($B143,Inventory!$A$2:$A$381,0)),""))</f>
        <v/>
      </c>
      <c r="E143" s="24"/>
      <c r="F143" s="24"/>
      <c r="G143" s="23"/>
      <c r="H143" s="23"/>
      <c r="I143" s="23"/>
      <c r="J143" s="11" t="str">
        <f aca="false">IF($B143="","",IF($H143="","Out","Returned"))</f>
        <v/>
      </c>
    </row>
    <row r="144" customFormat="false" ht="15" hidden="false" customHeight="false" outlineLevel="0" collapsed="false">
      <c r="A144" s="23"/>
      <c r="B144" s="23"/>
      <c r="C144" s="10" t="str">
        <f aca="false">IF($B144="","",IFERROR(INDEX(Inventory!$B$2:$B$381,MATCH($B144,Inventory!$A$2:$A$381,0)),"unknown ID"))</f>
        <v/>
      </c>
      <c r="D144" s="11" t="str">
        <f aca="false">IF($B144="","",IFERROR(INDEX(Inventory!$E$2:$E$381,MATCH($B144,Inventory!$A$2:$A$381,0)),""))</f>
        <v/>
      </c>
      <c r="E144" s="24"/>
      <c r="F144" s="24"/>
      <c r="G144" s="23"/>
      <c r="H144" s="23"/>
      <c r="I144" s="23"/>
      <c r="J144" s="11" t="str">
        <f aca="false">IF($B144="","",IF($H144="","Out","Returned"))</f>
        <v/>
      </c>
    </row>
    <row r="145" customFormat="false" ht="15" hidden="false" customHeight="false" outlineLevel="0" collapsed="false">
      <c r="A145" s="23"/>
      <c r="B145" s="23"/>
      <c r="C145" s="10" t="str">
        <f aca="false">IF($B145="","",IFERROR(INDEX(Inventory!$B$2:$B$381,MATCH($B145,Inventory!$A$2:$A$381,0)),"unknown ID"))</f>
        <v/>
      </c>
      <c r="D145" s="11" t="str">
        <f aca="false">IF($B145="","",IFERROR(INDEX(Inventory!$E$2:$E$381,MATCH($B145,Inventory!$A$2:$A$381,0)),""))</f>
        <v/>
      </c>
      <c r="E145" s="24"/>
      <c r="F145" s="24"/>
      <c r="G145" s="23"/>
      <c r="H145" s="23"/>
      <c r="I145" s="23"/>
      <c r="J145" s="11" t="str">
        <f aca="false">IF($B145="","",IF($H145="","Out","Returned"))</f>
        <v/>
      </c>
    </row>
    <row r="146" customFormat="false" ht="15" hidden="false" customHeight="false" outlineLevel="0" collapsed="false">
      <c r="A146" s="23"/>
      <c r="B146" s="23"/>
      <c r="C146" s="10" t="str">
        <f aca="false">IF($B146="","",IFERROR(INDEX(Inventory!$B$2:$B$381,MATCH($B146,Inventory!$A$2:$A$381,0)),"unknown ID"))</f>
        <v/>
      </c>
      <c r="D146" s="11" t="str">
        <f aca="false">IF($B146="","",IFERROR(INDEX(Inventory!$E$2:$E$381,MATCH($B146,Inventory!$A$2:$A$381,0)),""))</f>
        <v/>
      </c>
      <c r="E146" s="24"/>
      <c r="F146" s="24"/>
      <c r="G146" s="23"/>
      <c r="H146" s="23"/>
      <c r="I146" s="23"/>
      <c r="J146" s="11" t="str">
        <f aca="false">IF($B146="","",IF($H146="","Out","Returned"))</f>
        <v/>
      </c>
    </row>
    <row r="147" customFormat="false" ht="15" hidden="false" customHeight="false" outlineLevel="0" collapsed="false">
      <c r="A147" s="23"/>
      <c r="B147" s="23"/>
      <c r="C147" s="10" t="str">
        <f aca="false">IF($B147="","",IFERROR(INDEX(Inventory!$B$2:$B$381,MATCH($B147,Inventory!$A$2:$A$381,0)),"unknown ID"))</f>
        <v/>
      </c>
      <c r="D147" s="11" t="str">
        <f aca="false">IF($B147="","",IFERROR(INDEX(Inventory!$E$2:$E$381,MATCH($B147,Inventory!$A$2:$A$381,0)),""))</f>
        <v/>
      </c>
      <c r="E147" s="24"/>
      <c r="F147" s="24"/>
      <c r="G147" s="23"/>
      <c r="H147" s="23"/>
      <c r="I147" s="23"/>
      <c r="J147" s="11" t="str">
        <f aca="false">IF($B147="","",IF($H147="","Out","Returned"))</f>
        <v/>
      </c>
    </row>
    <row r="148" customFormat="false" ht="15" hidden="false" customHeight="false" outlineLevel="0" collapsed="false">
      <c r="A148" s="23"/>
      <c r="B148" s="23"/>
      <c r="C148" s="10" t="str">
        <f aca="false">IF($B148="","",IFERROR(INDEX(Inventory!$B$2:$B$381,MATCH($B148,Inventory!$A$2:$A$381,0)),"unknown ID"))</f>
        <v/>
      </c>
      <c r="D148" s="11" t="str">
        <f aca="false">IF($B148="","",IFERROR(INDEX(Inventory!$E$2:$E$381,MATCH($B148,Inventory!$A$2:$A$381,0)),""))</f>
        <v/>
      </c>
      <c r="E148" s="24"/>
      <c r="F148" s="24"/>
      <c r="G148" s="23"/>
      <c r="H148" s="23"/>
      <c r="I148" s="23"/>
      <c r="J148" s="11" t="str">
        <f aca="false">IF($B148="","",IF($H148="","Out","Returned"))</f>
        <v/>
      </c>
    </row>
    <row r="149" customFormat="false" ht="15" hidden="false" customHeight="false" outlineLevel="0" collapsed="false">
      <c r="A149" s="23"/>
      <c r="B149" s="23"/>
      <c r="C149" s="10" t="str">
        <f aca="false">IF($B149="","",IFERROR(INDEX(Inventory!$B$2:$B$381,MATCH($B149,Inventory!$A$2:$A$381,0)),"unknown ID"))</f>
        <v/>
      </c>
      <c r="D149" s="11" t="str">
        <f aca="false">IF($B149="","",IFERROR(INDEX(Inventory!$E$2:$E$381,MATCH($B149,Inventory!$A$2:$A$381,0)),""))</f>
        <v/>
      </c>
      <c r="E149" s="24"/>
      <c r="F149" s="24"/>
      <c r="G149" s="23"/>
      <c r="H149" s="23"/>
      <c r="I149" s="23"/>
      <c r="J149" s="11" t="str">
        <f aca="false">IF($B149="","",IF($H149="","Out","Returned"))</f>
        <v/>
      </c>
    </row>
    <row r="150" customFormat="false" ht="15" hidden="false" customHeight="false" outlineLevel="0" collapsed="false">
      <c r="A150" s="23"/>
      <c r="B150" s="23"/>
      <c r="C150" s="10" t="str">
        <f aca="false">IF($B150="","",IFERROR(INDEX(Inventory!$B$2:$B$381,MATCH($B150,Inventory!$A$2:$A$381,0)),"unknown ID"))</f>
        <v/>
      </c>
      <c r="D150" s="11" t="str">
        <f aca="false">IF($B150="","",IFERROR(INDEX(Inventory!$E$2:$E$381,MATCH($B150,Inventory!$A$2:$A$381,0)),""))</f>
        <v/>
      </c>
      <c r="E150" s="24"/>
      <c r="F150" s="24"/>
      <c r="G150" s="23"/>
      <c r="H150" s="23"/>
      <c r="I150" s="23"/>
      <c r="J150" s="11" t="str">
        <f aca="false">IF($B150="","",IF($H150="","Out","Returned"))</f>
        <v/>
      </c>
    </row>
    <row r="151" customFormat="false" ht="15" hidden="false" customHeight="false" outlineLevel="0" collapsed="false">
      <c r="A151" s="23"/>
      <c r="B151" s="23"/>
      <c r="C151" s="10" t="str">
        <f aca="false">IF($B151="","",IFERROR(INDEX(Inventory!$B$2:$B$381,MATCH($B151,Inventory!$A$2:$A$381,0)),"unknown ID"))</f>
        <v/>
      </c>
      <c r="D151" s="11" t="str">
        <f aca="false">IF($B151="","",IFERROR(INDEX(Inventory!$E$2:$E$381,MATCH($B151,Inventory!$A$2:$A$381,0)),""))</f>
        <v/>
      </c>
      <c r="E151" s="24"/>
      <c r="F151" s="24"/>
      <c r="G151" s="23"/>
      <c r="H151" s="23"/>
      <c r="I151" s="23"/>
      <c r="J151" s="11" t="str">
        <f aca="false">IF($B151="","",IF($H151="","Out","Returned"))</f>
        <v/>
      </c>
    </row>
    <row r="152" customFormat="false" ht="15" hidden="false" customHeight="false" outlineLevel="0" collapsed="false">
      <c r="A152" s="23"/>
      <c r="B152" s="23"/>
      <c r="C152" s="10" t="str">
        <f aca="false">IF($B152="","",IFERROR(INDEX(Inventory!$B$2:$B$381,MATCH($B152,Inventory!$A$2:$A$381,0)),"unknown ID"))</f>
        <v/>
      </c>
      <c r="D152" s="11" t="str">
        <f aca="false">IF($B152="","",IFERROR(INDEX(Inventory!$E$2:$E$381,MATCH($B152,Inventory!$A$2:$A$381,0)),""))</f>
        <v/>
      </c>
      <c r="E152" s="24"/>
      <c r="F152" s="24"/>
      <c r="G152" s="23"/>
      <c r="H152" s="23"/>
      <c r="I152" s="23"/>
      <c r="J152" s="11" t="str">
        <f aca="false">IF($B152="","",IF($H152="","Out","Returned"))</f>
        <v/>
      </c>
    </row>
    <row r="153" customFormat="false" ht="15" hidden="false" customHeight="false" outlineLevel="0" collapsed="false">
      <c r="A153" s="23"/>
      <c r="B153" s="23"/>
      <c r="C153" s="10" t="str">
        <f aca="false">IF($B153="","",IFERROR(INDEX(Inventory!$B$2:$B$381,MATCH($B153,Inventory!$A$2:$A$381,0)),"unknown ID"))</f>
        <v/>
      </c>
      <c r="D153" s="11" t="str">
        <f aca="false">IF($B153="","",IFERROR(INDEX(Inventory!$E$2:$E$381,MATCH($B153,Inventory!$A$2:$A$381,0)),""))</f>
        <v/>
      </c>
      <c r="E153" s="24"/>
      <c r="F153" s="24"/>
      <c r="G153" s="23"/>
      <c r="H153" s="23"/>
      <c r="I153" s="23"/>
      <c r="J153" s="11" t="str">
        <f aca="false">IF($B153="","",IF($H153="","Out","Returned"))</f>
        <v/>
      </c>
    </row>
    <row r="154" customFormat="false" ht="15" hidden="false" customHeight="false" outlineLevel="0" collapsed="false">
      <c r="A154" s="23"/>
      <c r="B154" s="23"/>
      <c r="C154" s="10" t="str">
        <f aca="false">IF($B154="","",IFERROR(INDEX(Inventory!$B$2:$B$381,MATCH($B154,Inventory!$A$2:$A$381,0)),"unknown ID"))</f>
        <v/>
      </c>
      <c r="D154" s="11" t="str">
        <f aca="false">IF($B154="","",IFERROR(INDEX(Inventory!$E$2:$E$381,MATCH($B154,Inventory!$A$2:$A$381,0)),""))</f>
        <v/>
      </c>
      <c r="E154" s="24"/>
      <c r="F154" s="24"/>
      <c r="G154" s="23"/>
      <c r="H154" s="23"/>
      <c r="I154" s="23"/>
      <c r="J154" s="11" t="str">
        <f aca="false">IF($B154="","",IF($H154="","Out","Returned"))</f>
        <v/>
      </c>
    </row>
    <row r="155" customFormat="false" ht="15" hidden="false" customHeight="false" outlineLevel="0" collapsed="false">
      <c r="A155" s="23"/>
      <c r="B155" s="23"/>
      <c r="C155" s="10" t="str">
        <f aca="false">IF($B155="","",IFERROR(INDEX(Inventory!$B$2:$B$381,MATCH($B155,Inventory!$A$2:$A$381,0)),"unknown ID"))</f>
        <v/>
      </c>
      <c r="D155" s="11" t="str">
        <f aca="false">IF($B155="","",IFERROR(INDEX(Inventory!$E$2:$E$381,MATCH($B155,Inventory!$A$2:$A$381,0)),""))</f>
        <v/>
      </c>
      <c r="E155" s="24"/>
      <c r="F155" s="24"/>
      <c r="G155" s="23"/>
      <c r="H155" s="23"/>
      <c r="I155" s="23"/>
      <c r="J155" s="11" t="str">
        <f aca="false">IF($B155="","",IF($H155="","Out","Returned"))</f>
        <v/>
      </c>
    </row>
    <row r="156" customFormat="false" ht="15" hidden="false" customHeight="false" outlineLevel="0" collapsed="false">
      <c r="A156" s="23"/>
      <c r="B156" s="23"/>
      <c r="C156" s="10" t="str">
        <f aca="false">IF($B156="","",IFERROR(INDEX(Inventory!$B$2:$B$381,MATCH($B156,Inventory!$A$2:$A$381,0)),"unknown ID"))</f>
        <v/>
      </c>
      <c r="D156" s="11" t="str">
        <f aca="false">IF($B156="","",IFERROR(INDEX(Inventory!$E$2:$E$381,MATCH($B156,Inventory!$A$2:$A$381,0)),""))</f>
        <v/>
      </c>
      <c r="E156" s="24"/>
      <c r="F156" s="24"/>
      <c r="G156" s="23"/>
      <c r="H156" s="23"/>
      <c r="I156" s="23"/>
      <c r="J156" s="11" t="str">
        <f aca="false">IF($B156="","",IF($H156="","Out","Returned"))</f>
        <v/>
      </c>
    </row>
    <row r="157" customFormat="false" ht="15" hidden="false" customHeight="false" outlineLevel="0" collapsed="false">
      <c r="A157" s="23"/>
      <c r="B157" s="23"/>
      <c r="C157" s="10" t="str">
        <f aca="false">IF($B157="","",IFERROR(INDEX(Inventory!$B$2:$B$381,MATCH($B157,Inventory!$A$2:$A$381,0)),"unknown ID"))</f>
        <v/>
      </c>
      <c r="D157" s="11" t="str">
        <f aca="false">IF($B157="","",IFERROR(INDEX(Inventory!$E$2:$E$381,MATCH($B157,Inventory!$A$2:$A$381,0)),""))</f>
        <v/>
      </c>
      <c r="E157" s="24"/>
      <c r="F157" s="24"/>
      <c r="G157" s="23"/>
      <c r="H157" s="23"/>
      <c r="I157" s="23"/>
      <c r="J157" s="11" t="str">
        <f aca="false">IF($B157="","",IF($H157="","Out","Returned"))</f>
        <v/>
      </c>
    </row>
    <row r="158" customFormat="false" ht="15" hidden="false" customHeight="false" outlineLevel="0" collapsed="false">
      <c r="A158" s="23"/>
      <c r="B158" s="23"/>
      <c r="C158" s="10" t="str">
        <f aca="false">IF($B158="","",IFERROR(INDEX(Inventory!$B$2:$B$381,MATCH($B158,Inventory!$A$2:$A$381,0)),"unknown ID"))</f>
        <v/>
      </c>
      <c r="D158" s="11" t="str">
        <f aca="false">IF($B158="","",IFERROR(INDEX(Inventory!$E$2:$E$381,MATCH($B158,Inventory!$A$2:$A$381,0)),""))</f>
        <v/>
      </c>
      <c r="E158" s="24"/>
      <c r="F158" s="24"/>
      <c r="G158" s="23"/>
      <c r="H158" s="23"/>
      <c r="I158" s="23"/>
      <c r="J158" s="11" t="str">
        <f aca="false">IF($B158="","",IF($H158="","Out","Returned"))</f>
        <v/>
      </c>
    </row>
    <row r="159" customFormat="false" ht="15" hidden="false" customHeight="false" outlineLevel="0" collapsed="false">
      <c r="A159" s="23"/>
      <c r="B159" s="23"/>
      <c r="C159" s="10" t="str">
        <f aca="false">IF($B159="","",IFERROR(INDEX(Inventory!$B$2:$B$381,MATCH($B159,Inventory!$A$2:$A$381,0)),"unknown ID"))</f>
        <v/>
      </c>
      <c r="D159" s="11" t="str">
        <f aca="false">IF($B159="","",IFERROR(INDEX(Inventory!$E$2:$E$381,MATCH($B159,Inventory!$A$2:$A$381,0)),""))</f>
        <v/>
      </c>
      <c r="E159" s="24"/>
      <c r="F159" s="24"/>
      <c r="G159" s="23"/>
      <c r="H159" s="23"/>
      <c r="I159" s="23"/>
      <c r="J159" s="11" t="str">
        <f aca="false">IF($B159="","",IF($H159="","Out","Returned"))</f>
        <v/>
      </c>
    </row>
    <row r="160" customFormat="false" ht="15" hidden="false" customHeight="false" outlineLevel="0" collapsed="false">
      <c r="A160" s="23"/>
      <c r="B160" s="23"/>
      <c r="C160" s="10" t="str">
        <f aca="false">IF($B160="","",IFERROR(INDEX(Inventory!$B$2:$B$381,MATCH($B160,Inventory!$A$2:$A$381,0)),"unknown ID"))</f>
        <v/>
      </c>
      <c r="D160" s="11" t="str">
        <f aca="false">IF($B160="","",IFERROR(INDEX(Inventory!$E$2:$E$381,MATCH($B160,Inventory!$A$2:$A$381,0)),""))</f>
        <v/>
      </c>
      <c r="E160" s="24"/>
      <c r="F160" s="24"/>
      <c r="G160" s="23"/>
      <c r="H160" s="23"/>
      <c r="I160" s="23"/>
      <c r="J160" s="11" t="str">
        <f aca="false">IF($B160="","",IF($H160="","Out","Returned"))</f>
        <v/>
      </c>
    </row>
    <row r="161" customFormat="false" ht="15" hidden="false" customHeight="false" outlineLevel="0" collapsed="false">
      <c r="A161" s="23"/>
      <c r="B161" s="23"/>
      <c r="C161" s="10" t="str">
        <f aca="false">IF($B161="","",IFERROR(INDEX(Inventory!$B$2:$B$381,MATCH($B161,Inventory!$A$2:$A$381,0)),"unknown ID"))</f>
        <v/>
      </c>
      <c r="D161" s="11" t="str">
        <f aca="false">IF($B161="","",IFERROR(INDEX(Inventory!$E$2:$E$381,MATCH($B161,Inventory!$A$2:$A$381,0)),""))</f>
        <v/>
      </c>
      <c r="E161" s="24"/>
      <c r="F161" s="24"/>
      <c r="G161" s="23"/>
      <c r="H161" s="23"/>
      <c r="I161" s="23"/>
      <c r="J161" s="11" t="str">
        <f aca="false">IF($B161="","",IF($H161="","Out","Returned"))</f>
        <v/>
      </c>
    </row>
    <row r="162" customFormat="false" ht="15" hidden="false" customHeight="false" outlineLevel="0" collapsed="false">
      <c r="A162" s="23"/>
      <c r="B162" s="23"/>
      <c r="C162" s="10" t="str">
        <f aca="false">IF($B162="","",IFERROR(INDEX(Inventory!$B$2:$B$381,MATCH($B162,Inventory!$A$2:$A$381,0)),"unknown ID"))</f>
        <v/>
      </c>
      <c r="D162" s="11" t="str">
        <f aca="false">IF($B162="","",IFERROR(INDEX(Inventory!$E$2:$E$381,MATCH($B162,Inventory!$A$2:$A$381,0)),""))</f>
        <v/>
      </c>
      <c r="E162" s="24"/>
      <c r="F162" s="24"/>
      <c r="G162" s="23"/>
      <c r="H162" s="23"/>
      <c r="I162" s="23"/>
      <c r="J162" s="11" t="str">
        <f aca="false">IF($B162="","",IF($H162="","Out","Returned"))</f>
        <v/>
      </c>
    </row>
    <row r="163" customFormat="false" ht="15" hidden="false" customHeight="false" outlineLevel="0" collapsed="false">
      <c r="A163" s="23"/>
      <c r="B163" s="23"/>
      <c r="C163" s="10" t="str">
        <f aca="false">IF($B163="","",IFERROR(INDEX(Inventory!$B$2:$B$381,MATCH($B163,Inventory!$A$2:$A$381,0)),"unknown ID"))</f>
        <v/>
      </c>
      <c r="D163" s="11" t="str">
        <f aca="false">IF($B163="","",IFERROR(INDEX(Inventory!$E$2:$E$381,MATCH($B163,Inventory!$A$2:$A$381,0)),""))</f>
        <v/>
      </c>
      <c r="E163" s="24"/>
      <c r="F163" s="24"/>
      <c r="G163" s="23"/>
      <c r="H163" s="23"/>
      <c r="I163" s="23"/>
      <c r="J163" s="11" t="str">
        <f aca="false">IF($B163="","",IF($H163="","Out","Returned"))</f>
        <v/>
      </c>
    </row>
    <row r="164" customFormat="false" ht="15" hidden="false" customHeight="false" outlineLevel="0" collapsed="false">
      <c r="A164" s="23"/>
      <c r="B164" s="23"/>
      <c r="C164" s="10" t="str">
        <f aca="false">IF($B164="","",IFERROR(INDEX(Inventory!$B$2:$B$381,MATCH($B164,Inventory!$A$2:$A$381,0)),"unknown ID"))</f>
        <v/>
      </c>
      <c r="D164" s="11" t="str">
        <f aca="false">IF($B164="","",IFERROR(INDEX(Inventory!$E$2:$E$381,MATCH($B164,Inventory!$A$2:$A$381,0)),""))</f>
        <v/>
      </c>
      <c r="E164" s="24"/>
      <c r="F164" s="24"/>
      <c r="G164" s="23"/>
      <c r="H164" s="23"/>
      <c r="I164" s="23"/>
      <c r="J164" s="11" t="str">
        <f aca="false">IF($B164="","",IF($H164="","Out","Returned"))</f>
        <v/>
      </c>
    </row>
    <row r="165" customFormat="false" ht="15" hidden="false" customHeight="false" outlineLevel="0" collapsed="false">
      <c r="A165" s="23"/>
      <c r="B165" s="23"/>
      <c r="C165" s="10" t="str">
        <f aca="false">IF($B165="","",IFERROR(INDEX(Inventory!$B$2:$B$381,MATCH($B165,Inventory!$A$2:$A$381,0)),"unknown ID"))</f>
        <v/>
      </c>
      <c r="D165" s="11" t="str">
        <f aca="false">IF($B165="","",IFERROR(INDEX(Inventory!$E$2:$E$381,MATCH($B165,Inventory!$A$2:$A$381,0)),""))</f>
        <v/>
      </c>
      <c r="E165" s="24"/>
      <c r="F165" s="24"/>
      <c r="G165" s="23"/>
      <c r="H165" s="23"/>
      <c r="I165" s="23"/>
      <c r="J165" s="11" t="str">
        <f aca="false">IF($B165="","",IF($H165="","Out","Returned"))</f>
        <v/>
      </c>
    </row>
    <row r="166" customFormat="false" ht="15" hidden="false" customHeight="false" outlineLevel="0" collapsed="false">
      <c r="A166" s="23"/>
      <c r="B166" s="23"/>
      <c r="C166" s="10" t="str">
        <f aca="false">IF($B166="","",IFERROR(INDEX(Inventory!$B$2:$B$381,MATCH($B166,Inventory!$A$2:$A$381,0)),"unknown ID"))</f>
        <v/>
      </c>
      <c r="D166" s="11" t="str">
        <f aca="false">IF($B166="","",IFERROR(INDEX(Inventory!$E$2:$E$381,MATCH($B166,Inventory!$A$2:$A$381,0)),""))</f>
        <v/>
      </c>
      <c r="E166" s="24"/>
      <c r="F166" s="24"/>
      <c r="G166" s="23"/>
      <c r="H166" s="23"/>
      <c r="I166" s="23"/>
      <c r="J166" s="11" t="str">
        <f aca="false">IF($B166="","",IF($H166="","Out","Returned"))</f>
        <v/>
      </c>
    </row>
    <row r="167" customFormat="false" ht="15" hidden="false" customHeight="false" outlineLevel="0" collapsed="false">
      <c r="A167" s="23"/>
      <c r="B167" s="23"/>
      <c r="C167" s="10" t="str">
        <f aca="false">IF($B167="","",IFERROR(INDEX(Inventory!$B$2:$B$381,MATCH($B167,Inventory!$A$2:$A$381,0)),"unknown ID"))</f>
        <v/>
      </c>
      <c r="D167" s="11" t="str">
        <f aca="false">IF($B167="","",IFERROR(INDEX(Inventory!$E$2:$E$381,MATCH($B167,Inventory!$A$2:$A$381,0)),""))</f>
        <v/>
      </c>
      <c r="E167" s="24"/>
      <c r="F167" s="24"/>
      <c r="G167" s="23"/>
      <c r="H167" s="23"/>
      <c r="I167" s="23"/>
      <c r="J167" s="11" t="str">
        <f aca="false">IF($B167="","",IF($H167="","Out","Returned"))</f>
        <v/>
      </c>
    </row>
    <row r="168" customFormat="false" ht="15" hidden="false" customHeight="false" outlineLevel="0" collapsed="false">
      <c r="A168" s="23"/>
      <c r="B168" s="23"/>
      <c r="C168" s="10" t="str">
        <f aca="false">IF($B168="","",IFERROR(INDEX(Inventory!$B$2:$B$381,MATCH($B168,Inventory!$A$2:$A$381,0)),"unknown ID"))</f>
        <v/>
      </c>
      <c r="D168" s="11" t="str">
        <f aca="false">IF($B168="","",IFERROR(INDEX(Inventory!$E$2:$E$381,MATCH($B168,Inventory!$A$2:$A$381,0)),""))</f>
        <v/>
      </c>
      <c r="E168" s="24"/>
      <c r="F168" s="24"/>
      <c r="G168" s="23"/>
      <c r="H168" s="23"/>
      <c r="I168" s="23"/>
      <c r="J168" s="11" t="str">
        <f aca="false">IF($B168="","",IF($H168="","Out","Returned"))</f>
        <v/>
      </c>
    </row>
    <row r="169" customFormat="false" ht="15" hidden="false" customHeight="false" outlineLevel="0" collapsed="false">
      <c r="A169" s="23"/>
      <c r="B169" s="23"/>
      <c r="C169" s="10" t="str">
        <f aca="false">IF($B169="","",IFERROR(INDEX(Inventory!$B$2:$B$381,MATCH($B169,Inventory!$A$2:$A$381,0)),"unknown ID"))</f>
        <v/>
      </c>
      <c r="D169" s="11" t="str">
        <f aca="false">IF($B169="","",IFERROR(INDEX(Inventory!$E$2:$E$381,MATCH($B169,Inventory!$A$2:$A$381,0)),""))</f>
        <v/>
      </c>
      <c r="E169" s="24"/>
      <c r="F169" s="24"/>
      <c r="G169" s="23"/>
      <c r="H169" s="23"/>
      <c r="I169" s="23"/>
      <c r="J169" s="11" t="str">
        <f aca="false">IF($B169="","",IF($H169="","Out","Returned"))</f>
        <v/>
      </c>
    </row>
    <row r="170" customFormat="false" ht="15" hidden="false" customHeight="false" outlineLevel="0" collapsed="false">
      <c r="A170" s="23"/>
      <c r="B170" s="23"/>
      <c r="C170" s="10" t="str">
        <f aca="false">IF($B170="","",IFERROR(INDEX(Inventory!$B$2:$B$381,MATCH($B170,Inventory!$A$2:$A$381,0)),"unknown ID"))</f>
        <v/>
      </c>
      <c r="D170" s="11" t="str">
        <f aca="false">IF($B170="","",IFERROR(INDEX(Inventory!$E$2:$E$381,MATCH($B170,Inventory!$A$2:$A$381,0)),""))</f>
        <v/>
      </c>
      <c r="E170" s="24"/>
      <c r="F170" s="24"/>
      <c r="G170" s="23"/>
      <c r="H170" s="23"/>
      <c r="I170" s="23"/>
      <c r="J170" s="11" t="str">
        <f aca="false">IF($B170="","",IF($H170="","Out","Returned"))</f>
        <v/>
      </c>
    </row>
    <row r="171" customFormat="false" ht="15" hidden="false" customHeight="false" outlineLevel="0" collapsed="false">
      <c r="A171" s="23"/>
      <c r="B171" s="23"/>
      <c r="C171" s="10" t="str">
        <f aca="false">IF($B171="","",IFERROR(INDEX(Inventory!$B$2:$B$381,MATCH($B171,Inventory!$A$2:$A$381,0)),"unknown ID"))</f>
        <v/>
      </c>
      <c r="D171" s="11" t="str">
        <f aca="false">IF($B171="","",IFERROR(INDEX(Inventory!$E$2:$E$381,MATCH($B171,Inventory!$A$2:$A$381,0)),""))</f>
        <v/>
      </c>
      <c r="E171" s="24"/>
      <c r="F171" s="24"/>
      <c r="G171" s="23"/>
      <c r="H171" s="23"/>
      <c r="I171" s="23"/>
      <c r="J171" s="11" t="str">
        <f aca="false">IF($B171="","",IF($H171="","Out","Returned"))</f>
        <v/>
      </c>
    </row>
    <row r="172" customFormat="false" ht="15" hidden="false" customHeight="false" outlineLevel="0" collapsed="false">
      <c r="A172" s="23"/>
      <c r="B172" s="23"/>
      <c r="C172" s="10" t="str">
        <f aca="false">IF($B172="","",IFERROR(INDEX(Inventory!$B$2:$B$381,MATCH($B172,Inventory!$A$2:$A$381,0)),"unknown ID"))</f>
        <v/>
      </c>
      <c r="D172" s="11" t="str">
        <f aca="false">IF($B172="","",IFERROR(INDEX(Inventory!$E$2:$E$381,MATCH($B172,Inventory!$A$2:$A$381,0)),""))</f>
        <v/>
      </c>
      <c r="E172" s="24"/>
      <c r="F172" s="24"/>
      <c r="G172" s="23"/>
      <c r="H172" s="23"/>
      <c r="I172" s="23"/>
      <c r="J172" s="11" t="str">
        <f aca="false">IF($B172="","",IF($H172="","Out","Returned"))</f>
        <v/>
      </c>
    </row>
    <row r="173" customFormat="false" ht="15" hidden="false" customHeight="false" outlineLevel="0" collapsed="false">
      <c r="A173" s="23"/>
      <c r="B173" s="23"/>
      <c r="C173" s="10" t="str">
        <f aca="false">IF($B173="","",IFERROR(INDEX(Inventory!$B$2:$B$381,MATCH($B173,Inventory!$A$2:$A$381,0)),"unknown ID"))</f>
        <v/>
      </c>
      <c r="D173" s="11" t="str">
        <f aca="false">IF($B173="","",IFERROR(INDEX(Inventory!$E$2:$E$381,MATCH($B173,Inventory!$A$2:$A$381,0)),""))</f>
        <v/>
      </c>
      <c r="E173" s="24"/>
      <c r="F173" s="24"/>
      <c r="G173" s="23"/>
      <c r="H173" s="23"/>
      <c r="I173" s="23"/>
      <c r="J173" s="11" t="str">
        <f aca="false">IF($B173="","",IF($H173="","Out","Returned"))</f>
        <v/>
      </c>
    </row>
    <row r="174" customFormat="false" ht="15" hidden="false" customHeight="false" outlineLevel="0" collapsed="false">
      <c r="A174" s="23"/>
      <c r="B174" s="23"/>
      <c r="C174" s="10" t="str">
        <f aca="false">IF($B174="","",IFERROR(INDEX(Inventory!$B$2:$B$381,MATCH($B174,Inventory!$A$2:$A$381,0)),"unknown ID"))</f>
        <v/>
      </c>
      <c r="D174" s="11" t="str">
        <f aca="false">IF($B174="","",IFERROR(INDEX(Inventory!$E$2:$E$381,MATCH($B174,Inventory!$A$2:$A$381,0)),""))</f>
        <v/>
      </c>
      <c r="E174" s="24"/>
      <c r="F174" s="24"/>
      <c r="G174" s="23"/>
      <c r="H174" s="23"/>
      <c r="I174" s="23"/>
      <c r="J174" s="11" t="str">
        <f aca="false">IF($B174="","",IF($H174="","Out","Returned"))</f>
        <v/>
      </c>
    </row>
    <row r="175" customFormat="false" ht="15" hidden="false" customHeight="false" outlineLevel="0" collapsed="false">
      <c r="A175" s="23"/>
      <c r="B175" s="23"/>
      <c r="C175" s="10" t="str">
        <f aca="false">IF($B175="","",IFERROR(INDEX(Inventory!$B$2:$B$381,MATCH($B175,Inventory!$A$2:$A$381,0)),"unknown ID"))</f>
        <v/>
      </c>
      <c r="D175" s="11" t="str">
        <f aca="false">IF($B175="","",IFERROR(INDEX(Inventory!$E$2:$E$381,MATCH($B175,Inventory!$A$2:$A$381,0)),""))</f>
        <v/>
      </c>
      <c r="E175" s="24"/>
      <c r="F175" s="24"/>
      <c r="G175" s="23"/>
      <c r="H175" s="23"/>
      <c r="I175" s="23"/>
      <c r="J175" s="11" t="str">
        <f aca="false">IF($B175="","",IF($H175="","Out","Returned"))</f>
        <v/>
      </c>
    </row>
    <row r="176" customFormat="false" ht="15" hidden="false" customHeight="false" outlineLevel="0" collapsed="false">
      <c r="A176" s="23"/>
      <c r="B176" s="23"/>
      <c r="C176" s="10" t="str">
        <f aca="false">IF($B176="","",IFERROR(INDEX(Inventory!$B$2:$B$381,MATCH($B176,Inventory!$A$2:$A$381,0)),"unknown ID"))</f>
        <v/>
      </c>
      <c r="D176" s="11" t="str">
        <f aca="false">IF($B176="","",IFERROR(INDEX(Inventory!$E$2:$E$381,MATCH($B176,Inventory!$A$2:$A$381,0)),""))</f>
        <v/>
      </c>
      <c r="E176" s="24"/>
      <c r="F176" s="24"/>
      <c r="G176" s="23"/>
      <c r="H176" s="23"/>
      <c r="I176" s="23"/>
      <c r="J176" s="11" t="str">
        <f aca="false">IF($B176="","",IF($H176="","Out","Returned"))</f>
        <v/>
      </c>
    </row>
    <row r="177" customFormat="false" ht="15" hidden="false" customHeight="false" outlineLevel="0" collapsed="false">
      <c r="A177" s="23"/>
      <c r="B177" s="23"/>
      <c r="C177" s="10" t="str">
        <f aca="false">IF($B177="","",IFERROR(INDEX(Inventory!$B$2:$B$381,MATCH($B177,Inventory!$A$2:$A$381,0)),"unknown ID"))</f>
        <v/>
      </c>
      <c r="D177" s="11" t="str">
        <f aca="false">IF($B177="","",IFERROR(INDEX(Inventory!$E$2:$E$381,MATCH($B177,Inventory!$A$2:$A$381,0)),""))</f>
        <v/>
      </c>
      <c r="E177" s="24"/>
      <c r="F177" s="24"/>
      <c r="G177" s="23"/>
      <c r="H177" s="23"/>
      <c r="I177" s="23"/>
      <c r="J177" s="11" t="str">
        <f aca="false">IF($B177="","",IF($H177="","Out","Returned"))</f>
        <v/>
      </c>
    </row>
    <row r="178" customFormat="false" ht="15" hidden="false" customHeight="false" outlineLevel="0" collapsed="false">
      <c r="A178" s="23"/>
      <c r="B178" s="23"/>
      <c r="C178" s="10" t="str">
        <f aca="false">IF($B178="","",IFERROR(INDEX(Inventory!$B$2:$B$381,MATCH($B178,Inventory!$A$2:$A$381,0)),"unknown ID"))</f>
        <v/>
      </c>
      <c r="D178" s="11" t="str">
        <f aca="false">IF($B178="","",IFERROR(INDEX(Inventory!$E$2:$E$381,MATCH($B178,Inventory!$A$2:$A$381,0)),""))</f>
        <v/>
      </c>
      <c r="E178" s="24"/>
      <c r="F178" s="24"/>
      <c r="G178" s="23"/>
      <c r="H178" s="23"/>
      <c r="I178" s="23"/>
      <c r="J178" s="11" t="str">
        <f aca="false">IF($B178="","",IF($H178="","Out","Returned"))</f>
        <v/>
      </c>
    </row>
    <row r="179" customFormat="false" ht="15" hidden="false" customHeight="false" outlineLevel="0" collapsed="false">
      <c r="A179" s="23"/>
      <c r="B179" s="23"/>
      <c r="C179" s="10" t="str">
        <f aca="false">IF($B179="","",IFERROR(INDEX(Inventory!$B$2:$B$381,MATCH($B179,Inventory!$A$2:$A$381,0)),"unknown ID"))</f>
        <v/>
      </c>
      <c r="D179" s="11" t="str">
        <f aca="false">IF($B179="","",IFERROR(INDEX(Inventory!$E$2:$E$381,MATCH($B179,Inventory!$A$2:$A$381,0)),""))</f>
        <v/>
      </c>
      <c r="E179" s="24"/>
      <c r="F179" s="24"/>
      <c r="G179" s="23"/>
      <c r="H179" s="23"/>
      <c r="I179" s="23"/>
      <c r="J179" s="11" t="str">
        <f aca="false">IF($B179="","",IF($H179="","Out","Returned"))</f>
        <v/>
      </c>
    </row>
    <row r="180" customFormat="false" ht="15" hidden="false" customHeight="false" outlineLevel="0" collapsed="false">
      <c r="A180" s="23"/>
      <c r="B180" s="23"/>
      <c r="C180" s="10" t="str">
        <f aca="false">IF($B180="","",IFERROR(INDEX(Inventory!$B$2:$B$381,MATCH($B180,Inventory!$A$2:$A$381,0)),"unknown ID"))</f>
        <v/>
      </c>
      <c r="D180" s="11" t="str">
        <f aca="false">IF($B180="","",IFERROR(INDEX(Inventory!$E$2:$E$381,MATCH($B180,Inventory!$A$2:$A$381,0)),""))</f>
        <v/>
      </c>
      <c r="E180" s="24"/>
      <c r="F180" s="24"/>
      <c r="G180" s="23"/>
      <c r="H180" s="23"/>
      <c r="I180" s="23"/>
      <c r="J180" s="11" t="str">
        <f aca="false">IF($B180="","",IF($H180="","Out","Returned"))</f>
        <v/>
      </c>
    </row>
    <row r="181" customFormat="false" ht="15" hidden="false" customHeight="false" outlineLevel="0" collapsed="false">
      <c r="A181" s="23"/>
      <c r="B181" s="23"/>
      <c r="C181" s="10" t="str">
        <f aca="false">IF($B181="","",IFERROR(INDEX(Inventory!$B$2:$B$381,MATCH($B181,Inventory!$A$2:$A$381,0)),"unknown ID"))</f>
        <v/>
      </c>
      <c r="D181" s="11" t="str">
        <f aca="false">IF($B181="","",IFERROR(INDEX(Inventory!$E$2:$E$381,MATCH($B181,Inventory!$A$2:$A$381,0)),""))</f>
        <v/>
      </c>
      <c r="E181" s="24"/>
      <c r="F181" s="24"/>
      <c r="G181" s="23"/>
      <c r="H181" s="23"/>
      <c r="I181" s="23"/>
      <c r="J181" s="11" t="str">
        <f aca="false">IF($B181="","",IF($H181="","Out","Returned"))</f>
        <v/>
      </c>
    </row>
    <row r="182" customFormat="false" ht="15" hidden="false" customHeight="false" outlineLevel="0" collapsed="false">
      <c r="A182" s="23"/>
      <c r="B182" s="23"/>
      <c r="C182" s="10" t="str">
        <f aca="false">IF($B182="","",IFERROR(INDEX(Inventory!$B$2:$B$381,MATCH($B182,Inventory!$A$2:$A$381,0)),"unknown ID"))</f>
        <v/>
      </c>
      <c r="D182" s="11" t="str">
        <f aca="false">IF($B182="","",IFERROR(INDEX(Inventory!$E$2:$E$381,MATCH($B182,Inventory!$A$2:$A$381,0)),""))</f>
        <v/>
      </c>
      <c r="E182" s="24"/>
      <c r="F182" s="24"/>
      <c r="G182" s="23"/>
      <c r="H182" s="23"/>
      <c r="I182" s="23"/>
      <c r="J182" s="11" t="str">
        <f aca="false">IF($B182="","",IF($H182="","Out","Returned"))</f>
        <v/>
      </c>
    </row>
    <row r="183" customFormat="false" ht="15" hidden="false" customHeight="false" outlineLevel="0" collapsed="false">
      <c r="A183" s="23"/>
      <c r="B183" s="23"/>
      <c r="C183" s="10" t="str">
        <f aca="false">IF($B183="","",IFERROR(INDEX(Inventory!$B$2:$B$381,MATCH($B183,Inventory!$A$2:$A$381,0)),"unknown ID"))</f>
        <v/>
      </c>
      <c r="D183" s="11" t="str">
        <f aca="false">IF($B183="","",IFERROR(INDEX(Inventory!$E$2:$E$381,MATCH($B183,Inventory!$A$2:$A$381,0)),""))</f>
        <v/>
      </c>
      <c r="E183" s="24"/>
      <c r="F183" s="24"/>
      <c r="G183" s="23"/>
      <c r="H183" s="23"/>
      <c r="I183" s="23"/>
      <c r="J183" s="11" t="str">
        <f aca="false">IF($B183="","",IF($H183="","Out","Returned"))</f>
        <v/>
      </c>
    </row>
    <row r="184" customFormat="false" ht="15" hidden="false" customHeight="false" outlineLevel="0" collapsed="false">
      <c r="A184" s="23"/>
      <c r="B184" s="23"/>
      <c r="C184" s="10" t="str">
        <f aca="false">IF($B184="","",IFERROR(INDEX(Inventory!$B$2:$B$381,MATCH($B184,Inventory!$A$2:$A$381,0)),"unknown ID"))</f>
        <v/>
      </c>
      <c r="D184" s="11" t="str">
        <f aca="false">IF($B184="","",IFERROR(INDEX(Inventory!$E$2:$E$381,MATCH($B184,Inventory!$A$2:$A$381,0)),""))</f>
        <v/>
      </c>
      <c r="E184" s="24"/>
      <c r="F184" s="24"/>
      <c r="G184" s="23"/>
      <c r="H184" s="23"/>
      <c r="I184" s="23"/>
      <c r="J184" s="11" t="str">
        <f aca="false">IF($B184="","",IF($H184="","Out","Returned"))</f>
        <v/>
      </c>
    </row>
    <row r="185" customFormat="false" ht="15" hidden="false" customHeight="false" outlineLevel="0" collapsed="false">
      <c r="A185" s="23"/>
      <c r="B185" s="23"/>
      <c r="C185" s="10" t="str">
        <f aca="false">IF($B185="","",IFERROR(INDEX(Inventory!$B$2:$B$381,MATCH($B185,Inventory!$A$2:$A$381,0)),"unknown ID"))</f>
        <v/>
      </c>
      <c r="D185" s="11" t="str">
        <f aca="false">IF($B185="","",IFERROR(INDEX(Inventory!$E$2:$E$381,MATCH($B185,Inventory!$A$2:$A$381,0)),""))</f>
        <v/>
      </c>
      <c r="E185" s="24"/>
      <c r="F185" s="24"/>
      <c r="G185" s="23"/>
      <c r="H185" s="23"/>
      <c r="I185" s="23"/>
      <c r="J185" s="11" t="str">
        <f aca="false">IF($B185="","",IF($H185="","Out","Returned"))</f>
        <v/>
      </c>
    </row>
    <row r="186" customFormat="false" ht="15" hidden="false" customHeight="false" outlineLevel="0" collapsed="false">
      <c r="A186" s="23"/>
      <c r="B186" s="23"/>
      <c r="C186" s="10" t="str">
        <f aca="false">IF($B186="","",IFERROR(INDEX(Inventory!$B$2:$B$381,MATCH($B186,Inventory!$A$2:$A$381,0)),"unknown ID"))</f>
        <v/>
      </c>
      <c r="D186" s="11" t="str">
        <f aca="false">IF($B186="","",IFERROR(INDEX(Inventory!$E$2:$E$381,MATCH($B186,Inventory!$A$2:$A$381,0)),""))</f>
        <v/>
      </c>
      <c r="E186" s="24"/>
      <c r="F186" s="24"/>
      <c r="G186" s="23"/>
      <c r="H186" s="23"/>
      <c r="I186" s="23"/>
      <c r="J186" s="11" t="str">
        <f aca="false">IF($B186="","",IF($H186="","Out","Returned"))</f>
        <v/>
      </c>
    </row>
    <row r="187" customFormat="false" ht="15" hidden="false" customHeight="false" outlineLevel="0" collapsed="false">
      <c r="A187" s="23"/>
      <c r="B187" s="23"/>
      <c r="C187" s="10" t="str">
        <f aca="false">IF($B187="","",IFERROR(INDEX(Inventory!$B$2:$B$381,MATCH($B187,Inventory!$A$2:$A$381,0)),"unknown ID"))</f>
        <v/>
      </c>
      <c r="D187" s="11" t="str">
        <f aca="false">IF($B187="","",IFERROR(INDEX(Inventory!$E$2:$E$381,MATCH($B187,Inventory!$A$2:$A$381,0)),""))</f>
        <v/>
      </c>
      <c r="E187" s="24"/>
      <c r="F187" s="24"/>
      <c r="G187" s="23"/>
      <c r="H187" s="23"/>
      <c r="I187" s="23"/>
      <c r="J187" s="11" t="str">
        <f aca="false">IF($B187="","",IF($H187="","Out","Returned"))</f>
        <v/>
      </c>
    </row>
    <row r="188" customFormat="false" ht="15" hidden="false" customHeight="false" outlineLevel="0" collapsed="false">
      <c r="A188" s="23"/>
      <c r="B188" s="23"/>
      <c r="C188" s="10" t="str">
        <f aca="false">IF($B188="","",IFERROR(INDEX(Inventory!$B$2:$B$381,MATCH($B188,Inventory!$A$2:$A$381,0)),"unknown ID"))</f>
        <v/>
      </c>
      <c r="D188" s="11" t="str">
        <f aca="false">IF($B188="","",IFERROR(INDEX(Inventory!$E$2:$E$381,MATCH($B188,Inventory!$A$2:$A$381,0)),""))</f>
        <v/>
      </c>
      <c r="E188" s="24"/>
      <c r="F188" s="24"/>
      <c r="G188" s="23"/>
      <c r="H188" s="23"/>
      <c r="I188" s="23"/>
      <c r="J188" s="11" t="str">
        <f aca="false">IF($B188="","",IF($H188="","Out","Returned"))</f>
        <v/>
      </c>
    </row>
    <row r="189" customFormat="false" ht="15" hidden="false" customHeight="false" outlineLevel="0" collapsed="false">
      <c r="A189" s="23"/>
      <c r="B189" s="23"/>
      <c r="C189" s="10" t="str">
        <f aca="false">IF($B189="","",IFERROR(INDEX(Inventory!$B$2:$B$381,MATCH($B189,Inventory!$A$2:$A$381,0)),"unknown ID"))</f>
        <v/>
      </c>
      <c r="D189" s="11" t="str">
        <f aca="false">IF($B189="","",IFERROR(INDEX(Inventory!$E$2:$E$381,MATCH($B189,Inventory!$A$2:$A$381,0)),""))</f>
        <v/>
      </c>
      <c r="E189" s="24"/>
      <c r="F189" s="24"/>
      <c r="G189" s="23"/>
      <c r="H189" s="23"/>
      <c r="I189" s="23"/>
      <c r="J189" s="11" t="str">
        <f aca="false">IF($B189="","",IF($H189="","Out","Returned"))</f>
        <v/>
      </c>
    </row>
    <row r="190" customFormat="false" ht="15" hidden="false" customHeight="false" outlineLevel="0" collapsed="false">
      <c r="A190" s="23"/>
      <c r="B190" s="23"/>
      <c r="C190" s="10" t="str">
        <f aca="false">IF($B190="","",IFERROR(INDEX(Inventory!$B$2:$B$381,MATCH($B190,Inventory!$A$2:$A$381,0)),"unknown ID"))</f>
        <v/>
      </c>
      <c r="D190" s="11" t="str">
        <f aca="false">IF($B190="","",IFERROR(INDEX(Inventory!$E$2:$E$381,MATCH($B190,Inventory!$A$2:$A$381,0)),""))</f>
        <v/>
      </c>
      <c r="E190" s="24"/>
      <c r="F190" s="24"/>
      <c r="G190" s="23"/>
      <c r="H190" s="23"/>
      <c r="I190" s="23"/>
      <c r="J190" s="11" t="str">
        <f aca="false">IF($B190="","",IF($H190="","Out","Returned"))</f>
        <v/>
      </c>
    </row>
    <row r="191" customFormat="false" ht="15" hidden="false" customHeight="false" outlineLevel="0" collapsed="false">
      <c r="A191" s="23"/>
      <c r="B191" s="23"/>
      <c r="C191" s="10" t="str">
        <f aca="false">IF($B191="","",IFERROR(INDEX(Inventory!$B$2:$B$381,MATCH($B191,Inventory!$A$2:$A$381,0)),"unknown ID"))</f>
        <v/>
      </c>
      <c r="D191" s="11" t="str">
        <f aca="false">IF($B191="","",IFERROR(INDEX(Inventory!$E$2:$E$381,MATCH($B191,Inventory!$A$2:$A$381,0)),""))</f>
        <v/>
      </c>
      <c r="E191" s="24"/>
      <c r="F191" s="24"/>
      <c r="G191" s="23"/>
      <c r="H191" s="23"/>
      <c r="I191" s="23"/>
      <c r="J191" s="11" t="str">
        <f aca="false">IF($B191="","",IF($H191="","Out","Returned"))</f>
        <v/>
      </c>
    </row>
    <row r="192" customFormat="false" ht="15" hidden="false" customHeight="false" outlineLevel="0" collapsed="false">
      <c r="A192" s="23"/>
      <c r="B192" s="23"/>
      <c r="C192" s="10" t="str">
        <f aca="false">IF($B192="","",IFERROR(INDEX(Inventory!$B$2:$B$381,MATCH($B192,Inventory!$A$2:$A$381,0)),"unknown ID"))</f>
        <v/>
      </c>
      <c r="D192" s="11" t="str">
        <f aca="false">IF($B192="","",IFERROR(INDEX(Inventory!$E$2:$E$381,MATCH($B192,Inventory!$A$2:$A$381,0)),""))</f>
        <v/>
      </c>
      <c r="E192" s="24"/>
      <c r="F192" s="24"/>
      <c r="G192" s="23"/>
      <c r="H192" s="23"/>
      <c r="I192" s="23"/>
      <c r="J192" s="11" t="str">
        <f aca="false">IF($B192="","",IF($H192="","Out","Returned"))</f>
        <v/>
      </c>
    </row>
    <row r="193" customFormat="false" ht="15" hidden="false" customHeight="false" outlineLevel="0" collapsed="false">
      <c r="A193" s="23"/>
      <c r="B193" s="23"/>
      <c r="C193" s="10" t="str">
        <f aca="false">IF($B193="","",IFERROR(INDEX(Inventory!$B$2:$B$381,MATCH($B193,Inventory!$A$2:$A$381,0)),"unknown ID"))</f>
        <v/>
      </c>
      <c r="D193" s="11" t="str">
        <f aca="false">IF($B193="","",IFERROR(INDEX(Inventory!$E$2:$E$381,MATCH($B193,Inventory!$A$2:$A$381,0)),""))</f>
        <v/>
      </c>
      <c r="E193" s="24"/>
      <c r="F193" s="24"/>
      <c r="G193" s="23"/>
      <c r="H193" s="23"/>
      <c r="I193" s="23"/>
      <c r="J193" s="11" t="str">
        <f aca="false">IF($B193="","",IF($H193="","Out","Returned"))</f>
        <v/>
      </c>
    </row>
    <row r="194" customFormat="false" ht="15" hidden="false" customHeight="false" outlineLevel="0" collapsed="false">
      <c r="A194" s="23"/>
      <c r="B194" s="23"/>
      <c r="C194" s="10" t="str">
        <f aca="false">IF($B194="","",IFERROR(INDEX(Inventory!$B$2:$B$381,MATCH($B194,Inventory!$A$2:$A$381,0)),"unknown ID"))</f>
        <v/>
      </c>
      <c r="D194" s="11" t="str">
        <f aca="false">IF($B194="","",IFERROR(INDEX(Inventory!$E$2:$E$381,MATCH($B194,Inventory!$A$2:$A$381,0)),""))</f>
        <v/>
      </c>
      <c r="E194" s="24"/>
      <c r="F194" s="24"/>
      <c r="G194" s="23"/>
      <c r="H194" s="23"/>
      <c r="I194" s="23"/>
      <c r="J194" s="11" t="str">
        <f aca="false">IF($B194="","",IF($H194="","Out","Returned"))</f>
        <v/>
      </c>
    </row>
    <row r="195" customFormat="false" ht="15" hidden="false" customHeight="false" outlineLevel="0" collapsed="false">
      <c r="A195" s="23"/>
      <c r="B195" s="23"/>
      <c r="C195" s="10" t="str">
        <f aca="false">IF($B195="","",IFERROR(INDEX(Inventory!$B$2:$B$381,MATCH($B195,Inventory!$A$2:$A$381,0)),"unknown ID"))</f>
        <v/>
      </c>
      <c r="D195" s="11" t="str">
        <f aca="false">IF($B195="","",IFERROR(INDEX(Inventory!$E$2:$E$381,MATCH($B195,Inventory!$A$2:$A$381,0)),""))</f>
        <v/>
      </c>
      <c r="E195" s="24"/>
      <c r="F195" s="24"/>
      <c r="G195" s="23"/>
      <c r="H195" s="23"/>
      <c r="I195" s="23"/>
      <c r="J195" s="11" t="str">
        <f aca="false">IF($B195="","",IF($H195="","Out","Returned"))</f>
        <v/>
      </c>
    </row>
    <row r="196" customFormat="false" ht="15" hidden="false" customHeight="false" outlineLevel="0" collapsed="false">
      <c r="A196" s="23"/>
      <c r="B196" s="23"/>
      <c r="C196" s="10" t="str">
        <f aca="false">IF($B196="","",IFERROR(INDEX(Inventory!$B$2:$B$381,MATCH($B196,Inventory!$A$2:$A$381,0)),"unknown ID"))</f>
        <v/>
      </c>
      <c r="D196" s="11" t="str">
        <f aca="false">IF($B196="","",IFERROR(INDEX(Inventory!$E$2:$E$381,MATCH($B196,Inventory!$A$2:$A$381,0)),""))</f>
        <v/>
      </c>
      <c r="E196" s="24"/>
      <c r="F196" s="24"/>
      <c r="G196" s="23"/>
      <c r="H196" s="23"/>
      <c r="I196" s="23"/>
      <c r="J196" s="11" t="str">
        <f aca="false">IF($B196="","",IF($H196="","Out","Returned"))</f>
        <v/>
      </c>
    </row>
    <row r="197" customFormat="false" ht="15" hidden="false" customHeight="false" outlineLevel="0" collapsed="false">
      <c r="A197" s="23"/>
      <c r="B197" s="23"/>
      <c r="C197" s="10" t="str">
        <f aca="false">IF($B197="","",IFERROR(INDEX(Inventory!$B$2:$B$381,MATCH($B197,Inventory!$A$2:$A$381,0)),"unknown ID"))</f>
        <v/>
      </c>
      <c r="D197" s="11" t="str">
        <f aca="false">IF($B197="","",IFERROR(INDEX(Inventory!$E$2:$E$381,MATCH($B197,Inventory!$A$2:$A$381,0)),""))</f>
        <v/>
      </c>
      <c r="E197" s="24"/>
      <c r="F197" s="24"/>
      <c r="G197" s="23"/>
      <c r="H197" s="23"/>
      <c r="I197" s="23"/>
      <c r="J197" s="11" t="str">
        <f aca="false">IF($B197="","",IF($H197="","Out","Returned"))</f>
        <v/>
      </c>
    </row>
    <row r="198" customFormat="false" ht="15" hidden="false" customHeight="false" outlineLevel="0" collapsed="false">
      <c r="A198" s="23"/>
      <c r="B198" s="23"/>
      <c r="C198" s="10" t="str">
        <f aca="false">IF($B198="","",IFERROR(INDEX(Inventory!$B$2:$B$381,MATCH($B198,Inventory!$A$2:$A$381,0)),"unknown ID"))</f>
        <v/>
      </c>
      <c r="D198" s="11" t="str">
        <f aca="false">IF($B198="","",IFERROR(INDEX(Inventory!$E$2:$E$381,MATCH($B198,Inventory!$A$2:$A$381,0)),""))</f>
        <v/>
      </c>
      <c r="E198" s="24"/>
      <c r="F198" s="24"/>
      <c r="G198" s="23"/>
      <c r="H198" s="23"/>
      <c r="I198" s="23"/>
      <c r="J198" s="11" t="str">
        <f aca="false">IF($B198="","",IF($H198="","Out","Returned"))</f>
        <v/>
      </c>
    </row>
    <row r="199" customFormat="false" ht="15" hidden="false" customHeight="false" outlineLevel="0" collapsed="false">
      <c r="A199" s="23"/>
      <c r="B199" s="23"/>
      <c r="C199" s="10" t="str">
        <f aca="false">IF($B199="","",IFERROR(INDEX(Inventory!$B$2:$B$381,MATCH($B199,Inventory!$A$2:$A$381,0)),"unknown ID"))</f>
        <v/>
      </c>
      <c r="D199" s="11" t="str">
        <f aca="false">IF($B199="","",IFERROR(INDEX(Inventory!$E$2:$E$381,MATCH($B199,Inventory!$A$2:$A$381,0)),""))</f>
        <v/>
      </c>
      <c r="E199" s="24"/>
      <c r="F199" s="24"/>
      <c r="G199" s="23"/>
      <c r="H199" s="23"/>
      <c r="I199" s="23"/>
      <c r="J199" s="11" t="str">
        <f aca="false">IF($B199="","",IF($H199="","Out","Returned"))</f>
        <v/>
      </c>
    </row>
    <row r="200" customFormat="false" ht="15" hidden="false" customHeight="false" outlineLevel="0" collapsed="false">
      <c r="A200" s="23"/>
      <c r="B200" s="23"/>
      <c r="C200" s="10" t="str">
        <f aca="false">IF($B200="","",IFERROR(INDEX(Inventory!$B$2:$B$381,MATCH($B200,Inventory!$A$2:$A$381,0)),"unknown ID"))</f>
        <v/>
      </c>
      <c r="D200" s="11" t="str">
        <f aca="false">IF($B200="","",IFERROR(INDEX(Inventory!$E$2:$E$381,MATCH($B200,Inventory!$A$2:$A$381,0)),""))</f>
        <v/>
      </c>
      <c r="E200" s="24"/>
      <c r="F200" s="24"/>
      <c r="G200" s="23"/>
      <c r="H200" s="23"/>
      <c r="I200" s="23"/>
      <c r="J200" s="11" t="str">
        <f aca="false">IF($B200="","",IF($H200="","Out","Returned"))</f>
        <v/>
      </c>
    </row>
    <row r="201" customFormat="false" ht="15" hidden="false" customHeight="false" outlineLevel="0" collapsed="false">
      <c r="A201" s="23"/>
      <c r="B201" s="23"/>
      <c r="C201" s="10" t="str">
        <f aca="false">IF($B201="","",IFERROR(INDEX(Inventory!$B$2:$B$381,MATCH($B201,Inventory!$A$2:$A$381,0)),"unknown ID"))</f>
        <v/>
      </c>
      <c r="D201" s="11" t="str">
        <f aca="false">IF($B201="","",IFERROR(INDEX(Inventory!$E$2:$E$381,MATCH($B201,Inventory!$A$2:$A$381,0)),""))</f>
        <v/>
      </c>
      <c r="E201" s="24"/>
      <c r="F201" s="24"/>
      <c r="G201" s="23"/>
      <c r="H201" s="23"/>
      <c r="I201" s="23"/>
      <c r="J201" s="11" t="str">
        <f aca="false">IF($B201="","",IF($H201="","Out","Returned"))</f>
        <v/>
      </c>
    </row>
    <row r="202" customFormat="false" ht="15" hidden="false" customHeight="false" outlineLevel="0" collapsed="false">
      <c r="A202" s="23"/>
      <c r="B202" s="23"/>
      <c r="C202" s="10" t="str">
        <f aca="false">IF($B202="","",IFERROR(INDEX(Inventory!$B$2:$B$381,MATCH($B202,Inventory!$A$2:$A$381,0)),"unknown ID"))</f>
        <v/>
      </c>
      <c r="D202" s="11" t="str">
        <f aca="false">IF($B202="","",IFERROR(INDEX(Inventory!$E$2:$E$381,MATCH($B202,Inventory!$A$2:$A$381,0)),""))</f>
        <v/>
      </c>
      <c r="E202" s="24"/>
      <c r="F202" s="24"/>
      <c r="G202" s="23"/>
      <c r="H202" s="23"/>
      <c r="I202" s="23"/>
      <c r="J202" s="11" t="str">
        <f aca="false">IF($B202="","",IF($H202="","Out","Returned"))</f>
        <v/>
      </c>
    </row>
    <row r="203" customFormat="false" ht="15" hidden="false" customHeight="false" outlineLevel="0" collapsed="false">
      <c r="A203" s="23"/>
      <c r="B203" s="23"/>
      <c r="C203" s="10" t="str">
        <f aca="false">IF($B203="","",IFERROR(INDEX(Inventory!$B$2:$B$381,MATCH($B203,Inventory!$A$2:$A$381,0)),"unknown ID"))</f>
        <v/>
      </c>
      <c r="D203" s="11" t="str">
        <f aca="false">IF($B203="","",IFERROR(INDEX(Inventory!$E$2:$E$381,MATCH($B203,Inventory!$A$2:$A$381,0)),""))</f>
        <v/>
      </c>
      <c r="E203" s="24"/>
      <c r="F203" s="24"/>
      <c r="G203" s="23"/>
      <c r="H203" s="23"/>
      <c r="I203" s="23"/>
      <c r="J203" s="11" t="str">
        <f aca="false">IF($B203="","",IF($H203="","Out","Returned"))</f>
        <v/>
      </c>
    </row>
    <row r="204" customFormat="false" ht="15" hidden="false" customHeight="false" outlineLevel="0" collapsed="false">
      <c r="A204" s="23"/>
      <c r="B204" s="23"/>
      <c r="C204" s="10" t="str">
        <f aca="false">IF($B204="","",IFERROR(INDEX(Inventory!$B$2:$B$381,MATCH($B204,Inventory!$A$2:$A$381,0)),"unknown ID"))</f>
        <v/>
      </c>
      <c r="D204" s="11" t="str">
        <f aca="false">IF($B204="","",IFERROR(INDEX(Inventory!$E$2:$E$381,MATCH($B204,Inventory!$A$2:$A$381,0)),""))</f>
        <v/>
      </c>
      <c r="E204" s="24"/>
      <c r="F204" s="24"/>
      <c r="G204" s="23"/>
      <c r="H204" s="23"/>
      <c r="I204" s="23"/>
      <c r="J204" s="11" t="str">
        <f aca="false">IF($B204="","",IF($H204="","Out","Returned"))</f>
        <v/>
      </c>
    </row>
    <row r="205" customFormat="false" ht="15" hidden="false" customHeight="false" outlineLevel="0" collapsed="false">
      <c r="A205" s="23"/>
      <c r="B205" s="23"/>
      <c r="C205" s="10" t="str">
        <f aca="false">IF($B205="","",IFERROR(INDEX(Inventory!$B$2:$B$381,MATCH($B205,Inventory!$A$2:$A$381,0)),"unknown ID"))</f>
        <v/>
      </c>
      <c r="D205" s="11" t="str">
        <f aca="false">IF($B205="","",IFERROR(INDEX(Inventory!$E$2:$E$381,MATCH($B205,Inventory!$A$2:$A$381,0)),""))</f>
        <v/>
      </c>
      <c r="E205" s="24"/>
      <c r="F205" s="24"/>
      <c r="G205" s="23"/>
      <c r="H205" s="23"/>
      <c r="I205" s="23"/>
      <c r="J205" s="11" t="str">
        <f aca="false">IF($B205="","",IF($H205="","Out","Returned"))</f>
        <v/>
      </c>
    </row>
    <row r="206" customFormat="false" ht="15" hidden="false" customHeight="false" outlineLevel="0" collapsed="false">
      <c r="A206" s="23"/>
      <c r="B206" s="23"/>
      <c r="C206" s="10" t="str">
        <f aca="false">IF($B206="","",IFERROR(INDEX(Inventory!$B$2:$B$381,MATCH($B206,Inventory!$A$2:$A$381,0)),"unknown ID"))</f>
        <v/>
      </c>
      <c r="D206" s="11" t="str">
        <f aca="false">IF($B206="","",IFERROR(INDEX(Inventory!$E$2:$E$381,MATCH($B206,Inventory!$A$2:$A$381,0)),""))</f>
        <v/>
      </c>
      <c r="E206" s="24"/>
      <c r="F206" s="24"/>
      <c r="G206" s="23"/>
      <c r="H206" s="23"/>
      <c r="I206" s="23"/>
      <c r="J206" s="11" t="str">
        <f aca="false">IF($B206="","",IF($H206="","Out","Returned"))</f>
        <v/>
      </c>
    </row>
    <row r="207" customFormat="false" ht="15" hidden="false" customHeight="false" outlineLevel="0" collapsed="false">
      <c r="A207" s="23"/>
      <c r="B207" s="23"/>
      <c r="C207" s="10" t="str">
        <f aca="false">IF($B207="","",IFERROR(INDEX(Inventory!$B$2:$B$381,MATCH($B207,Inventory!$A$2:$A$381,0)),"unknown ID"))</f>
        <v/>
      </c>
      <c r="D207" s="11" t="str">
        <f aca="false">IF($B207="","",IFERROR(INDEX(Inventory!$E$2:$E$381,MATCH($B207,Inventory!$A$2:$A$381,0)),""))</f>
        <v/>
      </c>
      <c r="E207" s="24"/>
      <c r="F207" s="24"/>
      <c r="G207" s="23"/>
      <c r="H207" s="23"/>
      <c r="I207" s="23"/>
      <c r="J207" s="11" t="str">
        <f aca="false">IF($B207="","",IF($H207="","Out","Returned"))</f>
        <v/>
      </c>
    </row>
    <row r="208" customFormat="false" ht="15" hidden="false" customHeight="false" outlineLevel="0" collapsed="false">
      <c r="A208" s="23"/>
      <c r="B208" s="23"/>
      <c r="C208" s="10" t="str">
        <f aca="false">IF($B208="","",IFERROR(INDEX(Inventory!$B$2:$B$381,MATCH($B208,Inventory!$A$2:$A$381,0)),"unknown ID"))</f>
        <v/>
      </c>
      <c r="D208" s="11" t="str">
        <f aca="false">IF($B208="","",IFERROR(INDEX(Inventory!$E$2:$E$381,MATCH($B208,Inventory!$A$2:$A$381,0)),""))</f>
        <v/>
      </c>
      <c r="E208" s="24"/>
      <c r="F208" s="24"/>
      <c r="G208" s="23"/>
      <c r="H208" s="23"/>
      <c r="I208" s="23"/>
      <c r="J208" s="11" t="str">
        <f aca="false">IF($B208="","",IF($H208="","Out","Returned"))</f>
        <v/>
      </c>
    </row>
    <row r="209" customFormat="false" ht="15" hidden="false" customHeight="false" outlineLevel="0" collapsed="false">
      <c r="A209" s="23"/>
      <c r="B209" s="23"/>
      <c r="C209" s="10" t="str">
        <f aca="false">IF($B209="","",IFERROR(INDEX(Inventory!$B$2:$B$381,MATCH($B209,Inventory!$A$2:$A$381,0)),"unknown ID"))</f>
        <v/>
      </c>
      <c r="D209" s="11" t="str">
        <f aca="false">IF($B209="","",IFERROR(INDEX(Inventory!$E$2:$E$381,MATCH($B209,Inventory!$A$2:$A$381,0)),""))</f>
        <v/>
      </c>
      <c r="E209" s="24"/>
      <c r="F209" s="24"/>
      <c r="G209" s="23"/>
      <c r="H209" s="23"/>
      <c r="I209" s="23"/>
      <c r="J209" s="11" t="str">
        <f aca="false">IF($B209="","",IF($H209="","Out","Returned"))</f>
        <v/>
      </c>
    </row>
    <row r="210" customFormat="false" ht="15" hidden="false" customHeight="false" outlineLevel="0" collapsed="false">
      <c r="A210" s="23"/>
      <c r="B210" s="23"/>
      <c r="C210" s="10" t="str">
        <f aca="false">IF($B210="","",IFERROR(INDEX(Inventory!$B$2:$B$381,MATCH($B210,Inventory!$A$2:$A$381,0)),"unknown ID"))</f>
        <v/>
      </c>
      <c r="D210" s="11" t="str">
        <f aca="false">IF($B210="","",IFERROR(INDEX(Inventory!$E$2:$E$381,MATCH($B210,Inventory!$A$2:$A$381,0)),""))</f>
        <v/>
      </c>
      <c r="E210" s="24"/>
      <c r="F210" s="24"/>
      <c r="G210" s="23"/>
      <c r="H210" s="23"/>
      <c r="I210" s="23"/>
      <c r="J210" s="11" t="str">
        <f aca="false">IF($B210="","",IF($H210="","Out","Returned"))</f>
        <v/>
      </c>
    </row>
    <row r="211" customFormat="false" ht="15" hidden="false" customHeight="false" outlineLevel="0" collapsed="false">
      <c r="A211" s="23"/>
      <c r="B211" s="23"/>
      <c r="C211" s="10" t="str">
        <f aca="false">IF($B211="","",IFERROR(INDEX(Inventory!$B$2:$B$381,MATCH($B211,Inventory!$A$2:$A$381,0)),"unknown ID"))</f>
        <v/>
      </c>
      <c r="D211" s="11" t="str">
        <f aca="false">IF($B211="","",IFERROR(INDEX(Inventory!$E$2:$E$381,MATCH($B211,Inventory!$A$2:$A$381,0)),""))</f>
        <v/>
      </c>
      <c r="E211" s="24"/>
      <c r="F211" s="24"/>
      <c r="G211" s="23"/>
      <c r="H211" s="23"/>
      <c r="I211" s="23"/>
      <c r="J211" s="11" t="str">
        <f aca="false">IF($B211="","",IF($H211="","Out","Returned"))</f>
        <v/>
      </c>
    </row>
    <row r="212" customFormat="false" ht="15" hidden="false" customHeight="false" outlineLevel="0" collapsed="false">
      <c r="A212" s="23"/>
      <c r="B212" s="23"/>
      <c r="C212" s="10" t="str">
        <f aca="false">IF($B212="","",IFERROR(INDEX(Inventory!$B$2:$B$381,MATCH($B212,Inventory!$A$2:$A$381,0)),"unknown ID"))</f>
        <v/>
      </c>
      <c r="D212" s="11" t="str">
        <f aca="false">IF($B212="","",IFERROR(INDEX(Inventory!$E$2:$E$381,MATCH($B212,Inventory!$A$2:$A$381,0)),""))</f>
        <v/>
      </c>
      <c r="E212" s="24"/>
      <c r="F212" s="24"/>
      <c r="G212" s="23"/>
      <c r="H212" s="23"/>
      <c r="I212" s="23"/>
      <c r="J212" s="11" t="str">
        <f aca="false">IF($B212="","",IF($H212="","Out","Returned"))</f>
        <v/>
      </c>
    </row>
    <row r="213" customFormat="false" ht="15" hidden="false" customHeight="false" outlineLevel="0" collapsed="false">
      <c r="A213" s="23"/>
      <c r="B213" s="23"/>
      <c r="C213" s="10" t="str">
        <f aca="false">IF($B213="","",IFERROR(INDEX(Inventory!$B$2:$B$381,MATCH($B213,Inventory!$A$2:$A$381,0)),"unknown ID"))</f>
        <v/>
      </c>
      <c r="D213" s="11" t="str">
        <f aca="false">IF($B213="","",IFERROR(INDEX(Inventory!$E$2:$E$381,MATCH($B213,Inventory!$A$2:$A$381,0)),""))</f>
        <v/>
      </c>
      <c r="E213" s="24"/>
      <c r="F213" s="24"/>
      <c r="G213" s="23"/>
      <c r="H213" s="23"/>
      <c r="I213" s="23"/>
      <c r="J213" s="11" t="str">
        <f aca="false">IF($B213="","",IF($H213="","Out","Returned"))</f>
        <v/>
      </c>
    </row>
    <row r="214" customFormat="false" ht="15" hidden="false" customHeight="false" outlineLevel="0" collapsed="false">
      <c r="A214" s="23"/>
      <c r="B214" s="23"/>
      <c r="C214" s="10" t="str">
        <f aca="false">IF($B214="","",IFERROR(INDEX(Inventory!$B$2:$B$381,MATCH($B214,Inventory!$A$2:$A$381,0)),"unknown ID"))</f>
        <v/>
      </c>
      <c r="D214" s="11" t="str">
        <f aca="false">IF($B214="","",IFERROR(INDEX(Inventory!$E$2:$E$381,MATCH($B214,Inventory!$A$2:$A$381,0)),""))</f>
        <v/>
      </c>
      <c r="E214" s="24"/>
      <c r="F214" s="24"/>
      <c r="G214" s="23"/>
      <c r="H214" s="23"/>
      <c r="I214" s="23"/>
      <c r="J214" s="11" t="str">
        <f aca="false">IF($B214="","",IF($H214="","Out","Returned"))</f>
        <v/>
      </c>
    </row>
    <row r="215" customFormat="false" ht="15" hidden="false" customHeight="false" outlineLevel="0" collapsed="false">
      <c r="A215" s="23"/>
      <c r="B215" s="23"/>
      <c r="C215" s="10" t="str">
        <f aca="false">IF($B215="","",IFERROR(INDEX(Inventory!$B$2:$B$381,MATCH($B215,Inventory!$A$2:$A$381,0)),"unknown ID"))</f>
        <v/>
      </c>
      <c r="D215" s="11" t="str">
        <f aca="false">IF($B215="","",IFERROR(INDEX(Inventory!$E$2:$E$381,MATCH($B215,Inventory!$A$2:$A$381,0)),""))</f>
        <v/>
      </c>
      <c r="E215" s="24"/>
      <c r="F215" s="24"/>
      <c r="G215" s="23"/>
      <c r="H215" s="23"/>
      <c r="I215" s="23"/>
      <c r="J215" s="11" t="str">
        <f aca="false">IF($B215="","",IF($H215="","Out","Returned"))</f>
        <v/>
      </c>
    </row>
    <row r="216" customFormat="false" ht="15" hidden="false" customHeight="false" outlineLevel="0" collapsed="false">
      <c r="A216" s="23"/>
      <c r="B216" s="23"/>
      <c r="C216" s="10" t="str">
        <f aca="false">IF($B216="","",IFERROR(INDEX(Inventory!$B$2:$B$381,MATCH($B216,Inventory!$A$2:$A$381,0)),"unknown ID"))</f>
        <v/>
      </c>
      <c r="D216" s="11" t="str">
        <f aca="false">IF($B216="","",IFERROR(INDEX(Inventory!$E$2:$E$381,MATCH($B216,Inventory!$A$2:$A$381,0)),""))</f>
        <v/>
      </c>
      <c r="E216" s="24"/>
      <c r="F216" s="24"/>
      <c r="G216" s="23"/>
      <c r="H216" s="23"/>
      <c r="I216" s="23"/>
      <c r="J216" s="11" t="str">
        <f aca="false">IF($B216="","",IF($H216="","Out","Returned"))</f>
        <v/>
      </c>
    </row>
    <row r="217" customFormat="false" ht="15" hidden="false" customHeight="false" outlineLevel="0" collapsed="false">
      <c r="A217" s="23"/>
      <c r="B217" s="23"/>
      <c r="C217" s="10" t="str">
        <f aca="false">IF($B217="","",IFERROR(INDEX(Inventory!$B$2:$B$381,MATCH($B217,Inventory!$A$2:$A$381,0)),"unknown ID"))</f>
        <v/>
      </c>
      <c r="D217" s="11" t="str">
        <f aca="false">IF($B217="","",IFERROR(INDEX(Inventory!$E$2:$E$381,MATCH($B217,Inventory!$A$2:$A$381,0)),""))</f>
        <v/>
      </c>
      <c r="E217" s="24"/>
      <c r="F217" s="24"/>
      <c r="G217" s="23"/>
      <c r="H217" s="23"/>
      <c r="I217" s="23"/>
      <c r="J217" s="11" t="str">
        <f aca="false">IF($B217="","",IF($H217="","Out","Returned"))</f>
        <v/>
      </c>
    </row>
    <row r="218" customFormat="false" ht="15" hidden="false" customHeight="false" outlineLevel="0" collapsed="false">
      <c r="A218" s="23"/>
      <c r="B218" s="23"/>
      <c r="C218" s="10" t="str">
        <f aca="false">IF($B218="","",IFERROR(INDEX(Inventory!$B$2:$B$381,MATCH($B218,Inventory!$A$2:$A$381,0)),"unknown ID"))</f>
        <v/>
      </c>
      <c r="D218" s="11" t="str">
        <f aca="false">IF($B218="","",IFERROR(INDEX(Inventory!$E$2:$E$381,MATCH($B218,Inventory!$A$2:$A$381,0)),""))</f>
        <v/>
      </c>
      <c r="E218" s="24"/>
      <c r="F218" s="24"/>
      <c r="G218" s="23"/>
      <c r="H218" s="23"/>
      <c r="I218" s="23"/>
      <c r="J218" s="11" t="str">
        <f aca="false">IF($B218="","",IF($H218="","Out","Returned"))</f>
        <v/>
      </c>
    </row>
    <row r="219" customFormat="false" ht="15" hidden="false" customHeight="false" outlineLevel="0" collapsed="false">
      <c r="A219" s="23"/>
      <c r="B219" s="23"/>
      <c r="C219" s="10" t="str">
        <f aca="false">IF($B219="","",IFERROR(INDEX(Inventory!$B$2:$B$381,MATCH($B219,Inventory!$A$2:$A$381,0)),"unknown ID"))</f>
        <v/>
      </c>
      <c r="D219" s="11" t="str">
        <f aca="false">IF($B219="","",IFERROR(INDEX(Inventory!$E$2:$E$381,MATCH($B219,Inventory!$A$2:$A$381,0)),""))</f>
        <v/>
      </c>
      <c r="E219" s="24"/>
      <c r="F219" s="24"/>
      <c r="G219" s="23"/>
      <c r="H219" s="23"/>
      <c r="I219" s="23"/>
      <c r="J219" s="11" t="str">
        <f aca="false">IF($B219="","",IF($H219="","Out","Returned"))</f>
        <v/>
      </c>
    </row>
    <row r="220" customFormat="false" ht="15" hidden="false" customHeight="false" outlineLevel="0" collapsed="false">
      <c r="A220" s="23"/>
      <c r="B220" s="23"/>
      <c r="C220" s="10" t="str">
        <f aca="false">IF($B220="","",IFERROR(INDEX(Inventory!$B$2:$B$381,MATCH($B220,Inventory!$A$2:$A$381,0)),"unknown ID"))</f>
        <v/>
      </c>
      <c r="D220" s="11" t="str">
        <f aca="false">IF($B220="","",IFERROR(INDEX(Inventory!$E$2:$E$381,MATCH($B220,Inventory!$A$2:$A$381,0)),""))</f>
        <v/>
      </c>
      <c r="E220" s="24"/>
      <c r="F220" s="24"/>
      <c r="G220" s="23"/>
      <c r="H220" s="23"/>
      <c r="I220" s="23"/>
      <c r="J220" s="11" t="str">
        <f aca="false">IF($B220="","",IF($H220="","Out","Returned"))</f>
        <v/>
      </c>
    </row>
    <row r="221" customFormat="false" ht="15" hidden="false" customHeight="false" outlineLevel="0" collapsed="false">
      <c r="A221" s="23"/>
      <c r="B221" s="23"/>
      <c r="C221" s="10" t="str">
        <f aca="false">IF($B221="","",IFERROR(INDEX(Inventory!$B$2:$B$381,MATCH($B221,Inventory!$A$2:$A$381,0)),"unknown ID"))</f>
        <v/>
      </c>
      <c r="D221" s="11" t="str">
        <f aca="false">IF($B221="","",IFERROR(INDEX(Inventory!$E$2:$E$381,MATCH($B221,Inventory!$A$2:$A$381,0)),""))</f>
        <v/>
      </c>
      <c r="E221" s="24"/>
      <c r="F221" s="24"/>
      <c r="G221" s="23"/>
      <c r="H221" s="23"/>
      <c r="I221" s="23"/>
      <c r="J221" s="11" t="str">
        <f aca="false">IF($B221="","",IF($H221="","Out","Returned"))</f>
        <v/>
      </c>
    </row>
    <row r="222" customFormat="false" ht="15" hidden="false" customHeight="false" outlineLevel="0" collapsed="false">
      <c r="A222" s="23"/>
      <c r="B222" s="23"/>
      <c r="C222" s="10" t="str">
        <f aca="false">IF($B222="","",IFERROR(INDEX(Inventory!$B$2:$B$381,MATCH($B222,Inventory!$A$2:$A$381,0)),"unknown ID"))</f>
        <v/>
      </c>
      <c r="D222" s="11" t="str">
        <f aca="false">IF($B222="","",IFERROR(INDEX(Inventory!$E$2:$E$381,MATCH($B222,Inventory!$A$2:$A$381,0)),""))</f>
        <v/>
      </c>
      <c r="E222" s="24"/>
      <c r="F222" s="24"/>
      <c r="G222" s="23"/>
      <c r="H222" s="23"/>
      <c r="I222" s="23"/>
      <c r="J222" s="11" t="str">
        <f aca="false">IF($B222="","",IF($H222="","Out","Returned"))</f>
        <v/>
      </c>
    </row>
    <row r="223" customFormat="false" ht="15" hidden="false" customHeight="false" outlineLevel="0" collapsed="false">
      <c r="A223" s="23"/>
      <c r="B223" s="23"/>
      <c r="C223" s="10" t="str">
        <f aca="false">IF($B223="","",IFERROR(INDEX(Inventory!$B$2:$B$381,MATCH($B223,Inventory!$A$2:$A$381,0)),"unknown ID"))</f>
        <v/>
      </c>
      <c r="D223" s="11" t="str">
        <f aca="false">IF($B223="","",IFERROR(INDEX(Inventory!$E$2:$E$381,MATCH($B223,Inventory!$A$2:$A$381,0)),""))</f>
        <v/>
      </c>
      <c r="E223" s="24"/>
      <c r="F223" s="24"/>
      <c r="G223" s="23"/>
      <c r="H223" s="23"/>
      <c r="I223" s="23"/>
      <c r="J223" s="11" t="str">
        <f aca="false">IF($B223="","",IF($H223="","Out","Returned"))</f>
        <v/>
      </c>
    </row>
    <row r="224" customFormat="false" ht="15" hidden="false" customHeight="false" outlineLevel="0" collapsed="false">
      <c r="A224" s="23"/>
      <c r="B224" s="23"/>
      <c r="C224" s="10" t="str">
        <f aca="false">IF($B224="","",IFERROR(INDEX(Inventory!$B$2:$B$381,MATCH($B224,Inventory!$A$2:$A$381,0)),"unknown ID"))</f>
        <v/>
      </c>
      <c r="D224" s="11" t="str">
        <f aca="false">IF($B224="","",IFERROR(INDEX(Inventory!$E$2:$E$381,MATCH($B224,Inventory!$A$2:$A$381,0)),""))</f>
        <v/>
      </c>
      <c r="E224" s="24"/>
      <c r="F224" s="24"/>
      <c r="G224" s="23"/>
      <c r="H224" s="23"/>
      <c r="I224" s="23"/>
      <c r="J224" s="11" t="str">
        <f aca="false">IF($B224="","",IF($H224="","Out","Returned"))</f>
        <v/>
      </c>
    </row>
    <row r="225" customFormat="false" ht="15" hidden="false" customHeight="false" outlineLevel="0" collapsed="false">
      <c r="A225" s="23"/>
      <c r="B225" s="23"/>
      <c r="C225" s="10" t="str">
        <f aca="false">IF($B225="","",IFERROR(INDEX(Inventory!$B$2:$B$381,MATCH($B225,Inventory!$A$2:$A$381,0)),"unknown ID"))</f>
        <v/>
      </c>
      <c r="D225" s="11" t="str">
        <f aca="false">IF($B225="","",IFERROR(INDEX(Inventory!$E$2:$E$381,MATCH($B225,Inventory!$A$2:$A$381,0)),""))</f>
        <v/>
      </c>
      <c r="E225" s="24"/>
      <c r="F225" s="24"/>
      <c r="G225" s="23"/>
      <c r="H225" s="23"/>
      <c r="I225" s="23"/>
      <c r="J225" s="11" t="str">
        <f aca="false">IF($B225="","",IF($H225="","Out","Returned"))</f>
        <v/>
      </c>
    </row>
    <row r="226" customFormat="false" ht="15" hidden="false" customHeight="false" outlineLevel="0" collapsed="false">
      <c r="A226" s="23"/>
      <c r="B226" s="23"/>
      <c r="C226" s="10" t="str">
        <f aca="false">IF($B226="","",IFERROR(INDEX(Inventory!$B$2:$B$381,MATCH($B226,Inventory!$A$2:$A$381,0)),"unknown ID"))</f>
        <v/>
      </c>
      <c r="D226" s="11" t="str">
        <f aca="false">IF($B226="","",IFERROR(INDEX(Inventory!$E$2:$E$381,MATCH($B226,Inventory!$A$2:$A$381,0)),""))</f>
        <v/>
      </c>
      <c r="E226" s="24"/>
      <c r="F226" s="24"/>
      <c r="G226" s="23"/>
      <c r="H226" s="23"/>
      <c r="I226" s="23"/>
      <c r="J226" s="11" t="str">
        <f aca="false">IF($B226="","",IF($H226="","Out","Returned"))</f>
        <v/>
      </c>
    </row>
    <row r="227" customFormat="false" ht="15" hidden="false" customHeight="false" outlineLevel="0" collapsed="false">
      <c r="A227" s="23"/>
      <c r="B227" s="23"/>
      <c r="C227" s="10" t="str">
        <f aca="false">IF($B227="","",IFERROR(INDEX(Inventory!$B$2:$B$381,MATCH($B227,Inventory!$A$2:$A$381,0)),"unknown ID"))</f>
        <v/>
      </c>
      <c r="D227" s="11" t="str">
        <f aca="false">IF($B227="","",IFERROR(INDEX(Inventory!$E$2:$E$381,MATCH($B227,Inventory!$A$2:$A$381,0)),""))</f>
        <v/>
      </c>
      <c r="E227" s="24"/>
      <c r="F227" s="24"/>
      <c r="G227" s="23"/>
      <c r="H227" s="23"/>
      <c r="I227" s="23"/>
      <c r="J227" s="11" t="str">
        <f aca="false">IF($B227="","",IF($H227="","Out","Returned"))</f>
        <v/>
      </c>
    </row>
    <row r="228" customFormat="false" ht="15" hidden="false" customHeight="false" outlineLevel="0" collapsed="false">
      <c r="A228" s="23"/>
      <c r="B228" s="23"/>
      <c r="C228" s="10" t="str">
        <f aca="false">IF($B228="","",IFERROR(INDEX(Inventory!$B$2:$B$381,MATCH($B228,Inventory!$A$2:$A$381,0)),"unknown ID"))</f>
        <v/>
      </c>
      <c r="D228" s="11" t="str">
        <f aca="false">IF($B228="","",IFERROR(INDEX(Inventory!$E$2:$E$381,MATCH($B228,Inventory!$A$2:$A$381,0)),""))</f>
        <v/>
      </c>
      <c r="E228" s="24"/>
      <c r="F228" s="24"/>
      <c r="G228" s="23"/>
      <c r="H228" s="23"/>
      <c r="I228" s="23"/>
      <c r="J228" s="11" t="str">
        <f aca="false">IF($B228="","",IF($H228="","Out","Returned"))</f>
        <v/>
      </c>
    </row>
    <row r="229" customFormat="false" ht="15" hidden="false" customHeight="false" outlineLevel="0" collapsed="false">
      <c r="A229" s="23"/>
      <c r="B229" s="23"/>
      <c r="C229" s="10" t="str">
        <f aca="false">IF($B229="","",IFERROR(INDEX(Inventory!$B$2:$B$381,MATCH($B229,Inventory!$A$2:$A$381,0)),"unknown ID"))</f>
        <v/>
      </c>
      <c r="D229" s="11" t="str">
        <f aca="false">IF($B229="","",IFERROR(INDEX(Inventory!$E$2:$E$381,MATCH($B229,Inventory!$A$2:$A$381,0)),""))</f>
        <v/>
      </c>
      <c r="E229" s="24"/>
      <c r="F229" s="24"/>
      <c r="G229" s="23"/>
      <c r="H229" s="23"/>
      <c r="I229" s="23"/>
      <c r="J229" s="11" t="str">
        <f aca="false">IF($B229="","",IF($H229="","Out","Returned"))</f>
        <v/>
      </c>
    </row>
    <row r="230" customFormat="false" ht="15" hidden="false" customHeight="false" outlineLevel="0" collapsed="false">
      <c r="A230" s="23"/>
      <c r="B230" s="23"/>
      <c r="C230" s="10" t="str">
        <f aca="false">IF($B230="","",IFERROR(INDEX(Inventory!$B$2:$B$381,MATCH($B230,Inventory!$A$2:$A$381,0)),"unknown ID"))</f>
        <v/>
      </c>
      <c r="D230" s="11" t="str">
        <f aca="false">IF($B230="","",IFERROR(INDEX(Inventory!$E$2:$E$381,MATCH($B230,Inventory!$A$2:$A$381,0)),""))</f>
        <v/>
      </c>
      <c r="E230" s="24"/>
      <c r="F230" s="24"/>
      <c r="G230" s="23"/>
      <c r="H230" s="23"/>
      <c r="I230" s="23"/>
      <c r="J230" s="11" t="str">
        <f aca="false">IF($B230="","",IF($H230="","Out","Returned"))</f>
        <v/>
      </c>
    </row>
    <row r="231" customFormat="false" ht="15" hidden="false" customHeight="false" outlineLevel="0" collapsed="false">
      <c r="A231" s="23"/>
      <c r="B231" s="23"/>
      <c r="C231" s="10" t="str">
        <f aca="false">IF($B231="","",IFERROR(INDEX(Inventory!$B$2:$B$381,MATCH($B231,Inventory!$A$2:$A$381,0)),"unknown ID"))</f>
        <v/>
      </c>
      <c r="D231" s="11" t="str">
        <f aca="false">IF($B231="","",IFERROR(INDEX(Inventory!$E$2:$E$381,MATCH($B231,Inventory!$A$2:$A$381,0)),""))</f>
        <v/>
      </c>
      <c r="E231" s="24"/>
      <c r="F231" s="24"/>
      <c r="G231" s="23"/>
      <c r="H231" s="23"/>
      <c r="I231" s="23"/>
      <c r="J231" s="11" t="str">
        <f aca="false">IF($B231="","",IF($H231="","Out","Returned"))</f>
        <v/>
      </c>
    </row>
    <row r="232" customFormat="false" ht="15" hidden="false" customHeight="false" outlineLevel="0" collapsed="false">
      <c r="A232" s="23"/>
      <c r="B232" s="23"/>
      <c r="C232" s="10" t="str">
        <f aca="false">IF($B232="","",IFERROR(INDEX(Inventory!$B$2:$B$381,MATCH($B232,Inventory!$A$2:$A$381,0)),"unknown ID"))</f>
        <v/>
      </c>
      <c r="D232" s="11" t="str">
        <f aca="false">IF($B232="","",IFERROR(INDEX(Inventory!$E$2:$E$381,MATCH($B232,Inventory!$A$2:$A$381,0)),""))</f>
        <v/>
      </c>
      <c r="E232" s="24"/>
      <c r="F232" s="24"/>
      <c r="G232" s="23"/>
      <c r="H232" s="23"/>
      <c r="I232" s="23"/>
      <c r="J232" s="11" t="str">
        <f aca="false">IF($B232="","",IF($H232="","Out","Returned"))</f>
        <v/>
      </c>
    </row>
    <row r="233" customFormat="false" ht="15" hidden="false" customHeight="false" outlineLevel="0" collapsed="false">
      <c r="A233" s="23"/>
      <c r="B233" s="23"/>
      <c r="C233" s="10" t="str">
        <f aca="false">IF($B233="","",IFERROR(INDEX(Inventory!$B$2:$B$381,MATCH($B233,Inventory!$A$2:$A$381,0)),"unknown ID"))</f>
        <v/>
      </c>
      <c r="D233" s="11" t="str">
        <f aca="false">IF($B233="","",IFERROR(INDEX(Inventory!$E$2:$E$381,MATCH($B233,Inventory!$A$2:$A$381,0)),""))</f>
        <v/>
      </c>
      <c r="E233" s="24"/>
      <c r="F233" s="24"/>
      <c r="G233" s="23"/>
      <c r="H233" s="23"/>
      <c r="I233" s="23"/>
      <c r="J233" s="11" t="str">
        <f aca="false">IF($B233="","",IF($H233="","Out","Returned"))</f>
        <v/>
      </c>
    </row>
    <row r="234" customFormat="false" ht="15" hidden="false" customHeight="false" outlineLevel="0" collapsed="false">
      <c r="A234" s="23"/>
      <c r="B234" s="23"/>
      <c r="C234" s="10" t="str">
        <f aca="false">IF($B234="","",IFERROR(INDEX(Inventory!$B$2:$B$381,MATCH($B234,Inventory!$A$2:$A$381,0)),"unknown ID"))</f>
        <v/>
      </c>
      <c r="D234" s="11" t="str">
        <f aca="false">IF($B234="","",IFERROR(INDEX(Inventory!$E$2:$E$381,MATCH($B234,Inventory!$A$2:$A$381,0)),""))</f>
        <v/>
      </c>
      <c r="E234" s="24"/>
      <c r="F234" s="24"/>
      <c r="G234" s="23"/>
      <c r="H234" s="23"/>
      <c r="I234" s="23"/>
      <c r="J234" s="11" t="str">
        <f aca="false">IF($B234="","",IF($H234="","Out","Returned"))</f>
        <v/>
      </c>
    </row>
    <row r="235" customFormat="false" ht="15" hidden="false" customHeight="false" outlineLevel="0" collapsed="false">
      <c r="A235" s="23"/>
      <c r="B235" s="23"/>
      <c r="C235" s="10" t="str">
        <f aca="false">IF($B235="","",IFERROR(INDEX(Inventory!$B$2:$B$381,MATCH($B235,Inventory!$A$2:$A$381,0)),"unknown ID"))</f>
        <v/>
      </c>
      <c r="D235" s="11" t="str">
        <f aca="false">IF($B235="","",IFERROR(INDEX(Inventory!$E$2:$E$381,MATCH($B235,Inventory!$A$2:$A$381,0)),""))</f>
        <v/>
      </c>
      <c r="E235" s="24"/>
      <c r="F235" s="24"/>
      <c r="G235" s="23"/>
      <c r="H235" s="23"/>
      <c r="I235" s="23"/>
      <c r="J235" s="11" t="str">
        <f aca="false">IF($B235="","",IF($H235="","Out","Returned"))</f>
        <v/>
      </c>
    </row>
    <row r="236" customFormat="false" ht="15" hidden="false" customHeight="false" outlineLevel="0" collapsed="false">
      <c r="A236" s="23"/>
      <c r="B236" s="23"/>
      <c r="C236" s="10" t="str">
        <f aca="false">IF($B236="","",IFERROR(INDEX(Inventory!$B$2:$B$381,MATCH($B236,Inventory!$A$2:$A$381,0)),"unknown ID"))</f>
        <v/>
      </c>
      <c r="D236" s="11" t="str">
        <f aca="false">IF($B236="","",IFERROR(INDEX(Inventory!$E$2:$E$381,MATCH($B236,Inventory!$A$2:$A$381,0)),""))</f>
        <v/>
      </c>
      <c r="E236" s="24"/>
      <c r="F236" s="24"/>
      <c r="G236" s="23"/>
      <c r="H236" s="23"/>
      <c r="I236" s="23"/>
      <c r="J236" s="11" t="str">
        <f aca="false">IF($B236="","",IF($H236="","Out","Returned"))</f>
        <v/>
      </c>
    </row>
    <row r="237" customFormat="false" ht="15" hidden="false" customHeight="false" outlineLevel="0" collapsed="false">
      <c r="A237" s="23"/>
      <c r="B237" s="23"/>
      <c r="C237" s="10" t="str">
        <f aca="false">IF($B237="","",IFERROR(INDEX(Inventory!$B$2:$B$381,MATCH($B237,Inventory!$A$2:$A$381,0)),"unknown ID"))</f>
        <v/>
      </c>
      <c r="D237" s="11" t="str">
        <f aca="false">IF($B237="","",IFERROR(INDEX(Inventory!$E$2:$E$381,MATCH($B237,Inventory!$A$2:$A$381,0)),""))</f>
        <v/>
      </c>
      <c r="E237" s="24"/>
      <c r="F237" s="24"/>
      <c r="G237" s="23"/>
      <c r="H237" s="23"/>
      <c r="I237" s="23"/>
      <c r="J237" s="11" t="str">
        <f aca="false">IF($B237="","",IF($H237="","Out","Returned"))</f>
        <v/>
      </c>
    </row>
    <row r="238" customFormat="false" ht="15" hidden="false" customHeight="false" outlineLevel="0" collapsed="false">
      <c r="A238" s="23"/>
      <c r="B238" s="23"/>
      <c r="C238" s="10" t="str">
        <f aca="false">IF($B238="","",IFERROR(INDEX(Inventory!$B$2:$B$381,MATCH($B238,Inventory!$A$2:$A$381,0)),"unknown ID"))</f>
        <v/>
      </c>
      <c r="D238" s="11" t="str">
        <f aca="false">IF($B238="","",IFERROR(INDEX(Inventory!$E$2:$E$381,MATCH($B238,Inventory!$A$2:$A$381,0)),""))</f>
        <v/>
      </c>
      <c r="E238" s="24"/>
      <c r="F238" s="24"/>
      <c r="G238" s="23"/>
      <c r="H238" s="23"/>
      <c r="I238" s="23"/>
      <c r="J238" s="11" t="str">
        <f aca="false">IF($B238="","",IF($H238="","Out","Returned"))</f>
        <v/>
      </c>
    </row>
    <row r="239" customFormat="false" ht="15" hidden="false" customHeight="false" outlineLevel="0" collapsed="false">
      <c r="A239" s="23"/>
      <c r="B239" s="23"/>
      <c r="C239" s="10" t="str">
        <f aca="false">IF($B239="","",IFERROR(INDEX(Inventory!$B$2:$B$381,MATCH($B239,Inventory!$A$2:$A$381,0)),"unknown ID"))</f>
        <v/>
      </c>
      <c r="D239" s="11" t="str">
        <f aca="false">IF($B239="","",IFERROR(INDEX(Inventory!$E$2:$E$381,MATCH($B239,Inventory!$A$2:$A$381,0)),""))</f>
        <v/>
      </c>
      <c r="E239" s="24"/>
      <c r="F239" s="24"/>
      <c r="G239" s="23"/>
      <c r="H239" s="23"/>
      <c r="I239" s="23"/>
      <c r="J239" s="11" t="str">
        <f aca="false">IF($B239="","",IF($H239="","Out","Returned"))</f>
        <v/>
      </c>
    </row>
    <row r="240" customFormat="false" ht="15" hidden="false" customHeight="false" outlineLevel="0" collapsed="false">
      <c r="A240" s="23"/>
      <c r="B240" s="23"/>
      <c r="C240" s="10" t="str">
        <f aca="false">IF($B240="","",IFERROR(INDEX(Inventory!$B$2:$B$381,MATCH($B240,Inventory!$A$2:$A$381,0)),"unknown ID"))</f>
        <v/>
      </c>
      <c r="D240" s="11" t="str">
        <f aca="false">IF($B240="","",IFERROR(INDEX(Inventory!$E$2:$E$381,MATCH($B240,Inventory!$A$2:$A$381,0)),""))</f>
        <v/>
      </c>
      <c r="E240" s="24"/>
      <c r="F240" s="24"/>
      <c r="G240" s="23"/>
      <c r="H240" s="23"/>
      <c r="I240" s="23"/>
      <c r="J240" s="11" t="str">
        <f aca="false">IF($B240="","",IF($H240="","Out","Returned"))</f>
        <v/>
      </c>
    </row>
    <row r="241" customFormat="false" ht="15" hidden="false" customHeight="false" outlineLevel="0" collapsed="false">
      <c r="A241" s="23"/>
      <c r="B241" s="23"/>
      <c r="C241" s="10" t="str">
        <f aca="false">IF($B241="","",IFERROR(INDEX(Inventory!$B$2:$B$381,MATCH($B241,Inventory!$A$2:$A$381,0)),"unknown ID"))</f>
        <v/>
      </c>
      <c r="D241" s="11" t="str">
        <f aca="false">IF($B241="","",IFERROR(INDEX(Inventory!$E$2:$E$381,MATCH($B241,Inventory!$A$2:$A$381,0)),""))</f>
        <v/>
      </c>
      <c r="E241" s="24"/>
      <c r="F241" s="24"/>
      <c r="G241" s="23"/>
      <c r="H241" s="23"/>
      <c r="I241" s="23"/>
      <c r="J241" s="11" t="str">
        <f aca="false">IF($B241="","",IF($H241="","Out","Returned"))</f>
        <v/>
      </c>
    </row>
    <row r="242" customFormat="false" ht="15" hidden="false" customHeight="false" outlineLevel="0" collapsed="false">
      <c r="A242" s="23"/>
      <c r="B242" s="23"/>
      <c r="C242" s="10" t="str">
        <f aca="false">IF($B242="","",IFERROR(INDEX(Inventory!$B$2:$B$381,MATCH($B242,Inventory!$A$2:$A$381,0)),"unknown ID"))</f>
        <v/>
      </c>
      <c r="D242" s="11" t="str">
        <f aca="false">IF($B242="","",IFERROR(INDEX(Inventory!$E$2:$E$381,MATCH($B242,Inventory!$A$2:$A$381,0)),""))</f>
        <v/>
      </c>
      <c r="E242" s="24"/>
      <c r="F242" s="24"/>
      <c r="G242" s="23"/>
      <c r="H242" s="23"/>
      <c r="I242" s="23"/>
      <c r="J242" s="11" t="str">
        <f aca="false">IF($B242="","",IF($H242="","Out","Returned"))</f>
        <v/>
      </c>
    </row>
    <row r="243" customFormat="false" ht="15" hidden="false" customHeight="false" outlineLevel="0" collapsed="false">
      <c r="A243" s="23"/>
      <c r="B243" s="23"/>
      <c r="C243" s="10" t="str">
        <f aca="false">IF($B243="","",IFERROR(INDEX(Inventory!$B$2:$B$381,MATCH($B243,Inventory!$A$2:$A$381,0)),"unknown ID"))</f>
        <v/>
      </c>
      <c r="D243" s="11" t="str">
        <f aca="false">IF($B243="","",IFERROR(INDEX(Inventory!$E$2:$E$381,MATCH($B243,Inventory!$A$2:$A$381,0)),""))</f>
        <v/>
      </c>
      <c r="E243" s="24"/>
      <c r="F243" s="24"/>
      <c r="G243" s="23"/>
      <c r="H243" s="23"/>
      <c r="I243" s="23"/>
      <c r="J243" s="11" t="str">
        <f aca="false">IF($B243="","",IF($H243="","Out","Returned"))</f>
        <v/>
      </c>
    </row>
    <row r="244" customFormat="false" ht="15" hidden="false" customHeight="false" outlineLevel="0" collapsed="false">
      <c r="A244" s="23"/>
      <c r="B244" s="23"/>
      <c r="C244" s="10" t="str">
        <f aca="false">IF($B244="","",IFERROR(INDEX(Inventory!$B$2:$B$381,MATCH($B244,Inventory!$A$2:$A$381,0)),"unknown ID"))</f>
        <v/>
      </c>
      <c r="D244" s="11" t="str">
        <f aca="false">IF($B244="","",IFERROR(INDEX(Inventory!$E$2:$E$381,MATCH($B244,Inventory!$A$2:$A$381,0)),""))</f>
        <v/>
      </c>
      <c r="E244" s="24"/>
      <c r="F244" s="24"/>
      <c r="G244" s="23"/>
      <c r="H244" s="23"/>
      <c r="I244" s="23"/>
      <c r="J244" s="11" t="str">
        <f aca="false">IF($B244="","",IF($H244="","Out","Returned"))</f>
        <v/>
      </c>
    </row>
    <row r="245" customFormat="false" ht="15" hidden="false" customHeight="false" outlineLevel="0" collapsed="false">
      <c r="A245" s="23"/>
      <c r="B245" s="23"/>
      <c r="C245" s="10" t="str">
        <f aca="false">IF($B245="","",IFERROR(INDEX(Inventory!$B$2:$B$381,MATCH($B245,Inventory!$A$2:$A$381,0)),"unknown ID"))</f>
        <v/>
      </c>
      <c r="D245" s="11" t="str">
        <f aca="false">IF($B245="","",IFERROR(INDEX(Inventory!$E$2:$E$381,MATCH($B245,Inventory!$A$2:$A$381,0)),""))</f>
        <v/>
      </c>
      <c r="E245" s="24"/>
      <c r="F245" s="24"/>
      <c r="G245" s="23"/>
      <c r="H245" s="23"/>
      <c r="I245" s="23"/>
      <c r="J245" s="11" t="str">
        <f aca="false">IF($B245="","",IF($H245="","Out","Returned"))</f>
        <v/>
      </c>
    </row>
    <row r="246" customFormat="false" ht="15" hidden="false" customHeight="false" outlineLevel="0" collapsed="false">
      <c r="A246" s="23"/>
      <c r="B246" s="23"/>
      <c r="C246" s="10" t="str">
        <f aca="false">IF($B246="","",IFERROR(INDEX(Inventory!$B$2:$B$381,MATCH($B246,Inventory!$A$2:$A$381,0)),"unknown ID"))</f>
        <v/>
      </c>
      <c r="D246" s="11" t="str">
        <f aca="false">IF($B246="","",IFERROR(INDEX(Inventory!$E$2:$E$381,MATCH($B246,Inventory!$A$2:$A$381,0)),""))</f>
        <v/>
      </c>
      <c r="E246" s="24"/>
      <c r="F246" s="24"/>
      <c r="G246" s="23"/>
      <c r="H246" s="23"/>
      <c r="I246" s="23"/>
      <c r="J246" s="11" t="str">
        <f aca="false">IF($B246="","",IF($H246="","Out","Returned"))</f>
        <v/>
      </c>
    </row>
    <row r="247" customFormat="false" ht="15" hidden="false" customHeight="false" outlineLevel="0" collapsed="false">
      <c r="A247" s="23"/>
      <c r="B247" s="23"/>
      <c r="C247" s="10" t="str">
        <f aca="false">IF($B247="","",IFERROR(INDEX(Inventory!$B$2:$B$381,MATCH($B247,Inventory!$A$2:$A$381,0)),"unknown ID"))</f>
        <v/>
      </c>
      <c r="D247" s="11" t="str">
        <f aca="false">IF($B247="","",IFERROR(INDEX(Inventory!$E$2:$E$381,MATCH($B247,Inventory!$A$2:$A$381,0)),""))</f>
        <v/>
      </c>
      <c r="E247" s="24"/>
      <c r="F247" s="24"/>
      <c r="G247" s="23"/>
      <c r="H247" s="23"/>
      <c r="I247" s="23"/>
      <c r="J247" s="11" t="str">
        <f aca="false">IF($B247="","",IF($H247="","Out","Returned"))</f>
        <v/>
      </c>
    </row>
    <row r="248" customFormat="false" ht="15" hidden="false" customHeight="false" outlineLevel="0" collapsed="false">
      <c r="A248" s="23"/>
      <c r="B248" s="23"/>
      <c r="C248" s="10" t="str">
        <f aca="false">IF($B248="","",IFERROR(INDEX(Inventory!$B$2:$B$381,MATCH($B248,Inventory!$A$2:$A$381,0)),"unknown ID"))</f>
        <v/>
      </c>
      <c r="D248" s="11" t="str">
        <f aca="false">IF($B248="","",IFERROR(INDEX(Inventory!$E$2:$E$381,MATCH($B248,Inventory!$A$2:$A$381,0)),""))</f>
        <v/>
      </c>
      <c r="E248" s="24"/>
      <c r="F248" s="24"/>
      <c r="G248" s="23"/>
      <c r="H248" s="23"/>
      <c r="I248" s="23"/>
      <c r="J248" s="11" t="str">
        <f aca="false">IF($B248="","",IF($H248="","Out","Returned"))</f>
        <v/>
      </c>
    </row>
    <row r="249" customFormat="false" ht="15" hidden="false" customHeight="false" outlineLevel="0" collapsed="false">
      <c r="A249" s="23"/>
      <c r="B249" s="23"/>
      <c r="C249" s="10" t="str">
        <f aca="false">IF($B249="","",IFERROR(INDEX(Inventory!$B$2:$B$381,MATCH($B249,Inventory!$A$2:$A$381,0)),"unknown ID"))</f>
        <v/>
      </c>
      <c r="D249" s="11" t="str">
        <f aca="false">IF($B249="","",IFERROR(INDEX(Inventory!$E$2:$E$381,MATCH($B249,Inventory!$A$2:$A$381,0)),""))</f>
        <v/>
      </c>
      <c r="E249" s="24"/>
      <c r="F249" s="24"/>
      <c r="G249" s="23"/>
      <c r="H249" s="23"/>
      <c r="I249" s="23"/>
      <c r="J249" s="11" t="str">
        <f aca="false">IF($B249="","",IF($H249="","Out","Returned"))</f>
        <v/>
      </c>
    </row>
    <row r="250" customFormat="false" ht="15" hidden="false" customHeight="false" outlineLevel="0" collapsed="false">
      <c r="A250" s="23"/>
      <c r="B250" s="23"/>
      <c r="C250" s="10" t="str">
        <f aca="false">IF($B250="","",IFERROR(INDEX(Inventory!$B$2:$B$381,MATCH($B250,Inventory!$A$2:$A$381,0)),"unknown ID"))</f>
        <v/>
      </c>
      <c r="D250" s="11" t="str">
        <f aca="false">IF($B250="","",IFERROR(INDEX(Inventory!$E$2:$E$381,MATCH($B250,Inventory!$A$2:$A$381,0)),""))</f>
        <v/>
      </c>
      <c r="E250" s="24"/>
      <c r="F250" s="24"/>
      <c r="G250" s="23"/>
      <c r="H250" s="23"/>
      <c r="I250" s="23"/>
      <c r="J250" s="11" t="str">
        <f aca="false">IF($B250="","",IF($H250="","Out","Returned"))</f>
        <v/>
      </c>
    </row>
    <row r="251" customFormat="false" ht="15" hidden="false" customHeight="false" outlineLevel="0" collapsed="false">
      <c r="A251" s="23"/>
      <c r="B251" s="23"/>
      <c r="C251" s="10" t="str">
        <f aca="false">IF($B251="","",IFERROR(INDEX(Inventory!$B$2:$B$381,MATCH($B251,Inventory!$A$2:$A$381,0)),"unknown ID"))</f>
        <v/>
      </c>
      <c r="D251" s="11" t="str">
        <f aca="false">IF($B251="","",IFERROR(INDEX(Inventory!$E$2:$E$381,MATCH($B251,Inventory!$A$2:$A$381,0)),""))</f>
        <v/>
      </c>
      <c r="E251" s="24"/>
      <c r="F251" s="24"/>
      <c r="G251" s="23"/>
      <c r="H251" s="23"/>
      <c r="I251" s="23"/>
      <c r="J251" s="11" t="str">
        <f aca="false">IF($B251="","",IF($H251="","Out","Returned"))</f>
        <v/>
      </c>
    </row>
    <row r="252" customFormat="false" ht="15" hidden="false" customHeight="false" outlineLevel="0" collapsed="false">
      <c r="A252" s="23"/>
      <c r="B252" s="23"/>
      <c r="C252" s="10" t="str">
        <f aca="false">IF($B252="","",IFERROR(INDEX(Inventory!$B$2:$B$381,MATCH($B252,Inventory!$A$2:$A$381,0)),"unknown ID"))</f>
        <v/>
      </c>
      <c r="D252" s="11" t="str">
        <f aca="false">IF($B252="","",IFERROR(INDEX(Inventory!$E$2:$E$381,MATCH($B252,Inventory!$A$2:$A$381,0)),""))</f>
        <v/>
      </c>
      <c r="E252" s="24"/>
      <c r="F252" s="24"/>
      <c r="G252" s="23"/>
      <c r="H252" s="23"/>
      <c r="I252" s="23"/>
      <c r="J252" s="11" t="str">
        <f aca="false">IF($B252="","",IF($H252="","Out","Returned"))</f>
        <v/>
      </c>
    </row>
    <row r="253" customFormat="false" ht="15" hidden="false" customHeight="false" outlineLevel="0" collapsed="false">
      <c r="A253" s="23"/>
      <c r="B253" s="23"/>
      <c r="C253" s="10" t="str">
        <f aca="false">IF($B253="","",IFERROR(INDEX(Inventory!$B$2:$B$381,MATCH($B253,Inventory!$A$2:$A$381,0)),"unknown ID"))</f>
        <v/>
      </c>
      <c r="D253" s="11" t="str">
        <f aca="false">IF($B253="","",IFERROR(INDEX(Inventory!$E$2:$E$381,MATCH($B253,Inventory!$A$2:$A$381,0)),""))</f>
        <v/>
      </c>
      <c r="E253" s="24"/>
      <c r="F253" s="24"/>
      <c r="G253" s="23"/>
      <c r="H253" s="23"/>
      <c r="I253" s="23"/>
      <c r="J253" s="11" t="str">
        <f aca="false">IF($B253="","",IF($H253="","Out","Returned"))</f>
        <v/>
      </c>
    </row>
    <row r="254" customFormat="false" ht="15" hidden="false" customHeight="false" outlineLevel="0" collapsed="false">
      <c r="A254" s="23"/>
      <c r="B254" s="23"/>
      <c r="C254" s="10" t="str">
        <f aca="false">IF($B254="","",IFERROR(INDEX(Inventory!$B$2:$B$381,MATCH($B254,Inventory!$A$2:$A$381,0)),"unknown ID"))</f>
        <v/>
      </c>
      <c r="D254" s="11" t="str">
        <f aca="false">IF($B254="","",IFERROR(INDEX(Inventory!$E$2:$E$381,MATCH($B254,Inventory!$A$2:$A$381,0)),""))</f>
        <v/>
      </c>
      <c r="E254" s="24"/>
      <c r="F254" s="24"/>
      <c r="G254" s="23"/>
      <c r="H254" s="23"/>
      <c r="I254" s="23"/>
      <c r="J254" s="11" t="str">
        <f aca="false">IF($B254="","",IF($H254="","Out","Returned"))</f>
        <v/>
      </c>
    </row>
    <row r="255" customFormat="false" ht="15" hidden="false" customHeight="false" outlineLevel="0" collapsed="false">
      <c r="A255" s="23"/>
      <c r="B255" s="23"/>
      <c r="C255" s="10" t="str">
        <f aca="false">IF($B255="","",IFERROR(INDEX(Inventory!$B$2:$B$381,MATCH($B255,Inventory!$A$2:$A$381,0)),"unknown ID"))</f>
        <v/>
      </c>
      <c r="D255" s="11" t="str">
        <f aca="false">IF($B255="","",IFERROR(INDEX(Inventory!$E$2:$E$381,MATCH($B255,Inventory!$A$2:$A$381,0)),""))</f>
        <v/>
      </c>
      <c r="E255" s="24"/>
      <c r="F255" s="24"/>
      <c r="G255" s="23"/>
      <c r="H255" s="23"/>
      <c r="I255" s="23"/>
      <c r="J255" s="11" t="str">
        <f aca="false">IF($B255="","",IF($H255="","Out","Returned"))</f>
        <v/>
      </c>
    </row>
    <row r="256" customFormat="false" ht="15" hidden="false" customHeight="false" outlineLevel="0" collapsed="false">
      <c r="A256" s="23"/>
      <c r="B256" s="23"/>
      <c r="C256" s="10" t="str">
        <f aca="false">IF($B256="","",IFERROR(INDEX(Inventory!$B$2:$B$381,MATCH($B256,Inventory!$A$2:$A$381,0)),"unknown ID"))</f>
        <v/>
      </c>
      <c r="D256" s="11" t="str">
        <f aca="false">IF($B256="","",IFERROR(INDEX(Inventory!$E$2:$E$381,MATCH($B256,Inventory!$A$2:$A$381,0)),""))</f>
        <v/>
      </c>
      <c r="E256" s="24"/>
      <c r="F256" s="24"/>
      <c r="G256" s="23"/>
      <c r="H256" s="23"/>
      <c r="I256" s="23"/>
      <c r="J256" s="11" t="str">
        <f aca="false">IF($B256="","",IF($H256="","Out","Returned"))</f>
        <v/>
      </c>
    </row>
    <row r="257" customFormat="false" ht="15" hidden="false" customHeight="false" outlineLevel="0" collapsed="false">
      <c r="A257" s="23"/>
      <c r="B257" s="23"/>
      <c r="C257" s="10" t="str">
        <f aca="false">IF($B257="","",IFERROR(INDEX(Inventory!$B$2:$B$381,MATCH($B257,Inventory!$A$2:$A$381,0)),"unknown ID"))</f>
        <v/>
      </c>
      <c r="D257" s="11" t="str">
        <f aca="false">IF($B257="","",IFERROR(INDEX(Inventory!$E$2:$E$381,MATCH($B257,Inventory!$A$2:$A$381,0)),""))</f>
        <v/>
      </c>
      <c r="E257" s="24"/>
      <c r="F257" s="24"/>
      <c r="G257" s="23"/>
      <c r="H257" s="23"/>
      <c r="I257" s="23"/>
      <c r="J257" s="11" t="str">
        <f aca="false">IF($B257="","",IF($H257="","Out","Returned"))</f>
        <v/>
      </c>
    </row>
    <row r="258" customFormat="false" ht="15" hidden="false" customHeight="false" outlineLevel="0" collapsed="false">
      <c r="A258" s="23"/>
      <c r="B258" s="23"/>
      <c r="C258" s="10" t="str">
        <f aca="false">IF($B258="","",IFERROR(INDEX(Inventory!$B$2:$B$381,MATCH($B258,Inventory!$A$2:$A$381,0)),"unknown ID"))</f>
        <v/>
      </c>
      <c r="D258" s="11" t="str">
        <f aca="false">IF($B258="","",IFERROR(INDEX(Inventory!$E$2:$E$381,MATCH($B258,Inventory!$A$2:$A$381,0)),""))</f>
        <v/>
      </c>
      <c r="E258" s="24"/>
      <c r="F258" s="24"/>
      <c r="G258" s="23"/>
      <c r="H258" s="23"/>
      <c r="I258" s="23"/>
      <c r="J258" s="11" t="str">
        <f aca="false">IF($B258="","",IF($H258="","Out","Returned"))</f>
        <v/>
      </c>
    </row>
    <row r="259" customFormat="false" ht="15" hidden="false" customHeight="false" outlineLevel="0" collapsed="false">
      <c r="A259" s="23"/>
      <c r="B259" s="23"/>
      <c r="C259" s="10" t="str">
        <f aca="false">IF($B259="","",IFERROR(INDEX(Inventory!$B$2:$B$381,MATCH($B259,Inventory!$A$2:$A$381,0)),"unknown ID"))</f>
        <v/>
      </c>
      <c r="D259" s="11" t="str">
        <f aca="false">IF($B259="","",IFERROR(INDEX(Inventory!$E$2:$E$381,MATCH($B259,Inventory!$A$2:$A$381,0)),""))</f>
        <v/>
      </c>
      <c r="E259" s="24"/>
      <c r="F259" s="24"/>
      <c r="G259" s="23"/>
      <c r="H259" s="23"/>
      <c r="I259" s="23"/>
      <c r="J259" s="11" t="str">
        <f aca="false">IF($B259="","",IF($H259="","Out","Returned"))</f>
        <v/>
      </c>
    </row>
    <row r="260" customFormat="false" ht="15" hidden="false" customHeight="false" outlineLevel="0" collapsed="false">
      <c r="A260" s="23"/>
      <c r="B260" s="23"/>
      <c r="C260" s="10" t="str">
        <f aca="false">IF($B260="","",IFERROR(INDEX(Inventory!$B$2:$B$381,MATCH($B260,Inventory!$A$2:$A$381,0)),"unknown ID"))</f>
        <v/>
      </c>
      <c r="D260" s="11" t="str">
        <f aca="false">IF($B260="","",IFERROR(INDEX(Inventory!$E$2:$E$381,MATCH($B260,Inventory!$A$2:$A$381,0)),""))</f>
        <v/>
      </c>
      <c r="E260" s="24"/>
      <c r="F260" s="24"/>
      <c r="G260" s="23"/>
      <c r="H260" s="23"/>
      <c r="I260" s="23"/>
      <c r="J260" s="11" t="str">
        <f aca="false">IF($B260="","",IF($H260="","Out","Returned"))</f>
        <v/>
      </c>
    </row>
    <row r="261" customFormat="false" ht="15" hidden="false" customHeight="false" outlineLevel="0" collapsed="false">
      <c r="A261" s="23"/>
      <c r="B261" s="23"/>
      <c r="C261" s="10" t="str">
        <f aca="false">IF($B261="","",IFERROR(INDEX(Inventory!$B$2:$B$381,MATCH($B261,Inventory!$A$2:$A$381,0)),"unknown ID"))</f>
        <v/>
      </c>
      <c r="D261" s="11" t="str">
        <f aca="false">IF($B261="","",IFERROR(INDEX(Inventory!$E$2:$E$381,MATCH($B261,Inventory!$A$2:$A$381,0)),""))</f>
        <v/>
      </c>
      <c r="E261" s="24"/>
      <c r="F261" s="24"/>
      <c r="G261" s="23"/>
      <c r="H261" s="23"/>
      <c r="I261" s="23"/>
      <c r="J261" s="11" t="str">
        <f aca="false">IF($B261="","",IF($H261="","Out","Returned"))</f>
        <v/>
      </c>
    </row>
    <row r="262" customFormat="false" ht="15" hidden="false" customHeight="false" outlineLevel="0" collapsed="false">
      <c r="A262" s="23"/>
      <c r="B262" s="23"/>
      <c r="C262" s="10" t="str">
        <f aca="false">IF($B262="","",IFERROR(INDEX(Inventory!$B$2:$B$381,MATCH($B262,Inventory!$A$2:$A$381,0)),"unknown ID"))</f>
        <v/>
      </c>
      <c r="D262" s="11" t="str">
        <f aca="false">IF($B262="","",IFERROR(INDEX(Inventory!$E$2:$E$381,MATCH($B262,Inventory!$A$2:$A$381,0)),""))</f>
        <v/>
      </c>
      <c r="E262" s="24"/>
      <c r="F262" s="24"/>
      <c r="G262" s="23"/>
      <c r="H262" s="23"/>
      <c r="I262" s="23"/>
      <c r="J262" s="11" t="str">
        <f aca="false">IF($B262="","",IF($H262="","Out","Returned"))</f>
        <v/>
      </c>
    </row>
    <row r="263" customFormat="false" ht="15" hidden="false" customHeight="false" outlineLevel="0" collapsed="false">
      <c r="A263" s="23"/>
      <c r="B263" s="23"/>
      <c r="C263" s="10" t="str">
        <f aca="false">IF($B263="","",IFERROR(INDEX(Inventory!$B$2:$B$381,MATCH($B263,Inventory!$A$2:$A$381,0)),"unknown ID"))</f>
        <v/>
      </c>
      <c r="D263" s="11" t="str">
        <f aca="false">IF($B263="","",IFERROR(INDEX(Inventory!$E$2:$E$381,MATCH($B263,Inventory!$A$2:$A$381,0)),""))</f>
        <v/>
      </c>
      <c r="E263" s="24"/>
      <c r="F263" s="24"/>
      <c r="G263" s="23"/>
      <c r="H263" s="23"/>
      <c r="I263" s="23"/>
      <c r="J263" s="11" t="str">
        <f aca="false">IF($B263="","",IF($H263="","Out","Returned"))</f>
        <v/>
      </c>
    </row>
    <row r="264" customFormat="false" ht="15" hidden="false" customHeight="false" outlineLevel="0" collapsed="false">
      <c r="A264" s="23"/>
      <c r="B264" s="23"/>
      <c r="C264" s="10" t="str">
        <f aca="false">IF($B264="","",IFERROR(INDEX(Inventory!$B$2:$B$381,MATCH($B264,Inventory!$A$2:$A$381,0)),"unknown ID"))</f>
        <v/>
      </c>
      <c r="D264" s="11" t="str">
        <f aca="false">IF($B264="","",IFERROR(INDEX(Inventory!$E$2:$E$381,MATCH($B264,Inventory!$A$2:$A$381,0)),""))</f>
        <v/>
      </c>
      <c r="E264" s="24"/>
      <c r="F264" s="24"/>
      <c r="G264" s="23"/>
      <c r="H264" s="23"/>
      <c r="I264" s="23"/>
      <c r="J264" s="11" t="str">
        <f aca="false">IF($B264="","",IF($H264="","Out","Returned"))</f>
        <v/>
      </c>
    </row>
    <row r="265" customFormat="false" ht="15" hidden="false" customHeight="false" outlineLevel="0" collapsed="false">
      <c r="A265" s="23"/>
      <c r="B265" s="23"/>
      <c r="C265" s="10" t="str">
        <f aca="false">IF($B265="","",IFERROR(INDEX(Inventory!$B$2:$B$381,MATCH($B265,Inventory!$A$2:$A$381,0)),"unknown ID"))</f>
        <v/>
      </c>
      <c r="D265" s="11" t="str">
        <f aca="false">IF($B265="","",IFERROR(INDEX(Inventory!$E$2:$E$381,MATCH($B265,Inventory!$A$2:$A$381,0)),""))</f>
        <v/>
      </c>
      <c r="E265" s="24"/>
      <c r="F265" s="24"/>
      <c r="G265" s="23"/>
      <c r="H265" s="23"/>
      <c r="I265" s="23"/>
      <c r="J265" s="11" t="str">
        <f aca="false">IF($B265="","",IF($H265="","Out","Returned"))</f>
        <v/>
      </c>
    </row>
    <row r="266" customFormat="false" ht="15" hidden="false" customHeight="false" outlineLevel="0" collapsed="false">
      <c r="A266" s="23"/>
      <c r="B266" s="23"/>
      <c r="C266" s="10" t="str">
        <f aca="false">IF($B266="","",IFERROR(INDEX(Inventory!$B$2:$B$381,MATCH($B266,Inventory!$A$2:$A$381,0)),"unknown ID"))</f>
        <v/>
      </c>
      <c r="D266" s="11" t="str">
        <f aca="false">IF($B266="","",IFERROR(INDEX(Inventory!$E$2:$E$381,MATCH($B266,Inventory!$A$2:$A$381,0)),""))</f>
        <v/>
      </c>
      <c r="E266" s="24"/>
      <c r="F266" s="24"/>
      <c r="G266" s="23"/>
      <c r="H266" s="23"/>
      <c r="I266" s="23"/>
      <c r="J266" s="11" t="str">
        <f aca="false">IF($B266="","",IF($H266="","Out","Returned"))</f>
        <v/>
      </c>
    </row>
    <row r="267" customFormat="false" ht="15" hidden="false" customHeight="false" outlineLevel="0" collapsed="false">
      <c r="A267" s="23"/>
      <c r="B267" s="23"/>
      <c r="C267" s="10" t="str">
        <f aca="false">IF($B267="","",IFERROR(INDEX(Inventory!$B$2:$B$381,MATCH($B267,Inventory!$A$2:$A$381,0)),"unknown ID"))</f>
        <v/>
      </c>
      <c r="D267" s="11" t="str">
        <f aca="false">IF($B267="","",IFERROR(INDEX(Inventory!$E$2:$E$381,MATCH($B267,Inventory!$A$2:$A$381,0)),""))</f>
        <v/>
      </c>
      <c r="E267" s="24"/>
      <c r="F267" s="24"/>
      <c r="G267" s="23"/>
      <c r="H267" s="23"/>
      <c r="I267" s="23"/>
      <c r="J267" s="11" t="str">
        <f aca="false">IF($B267="","",IF($H267="","Out","Returned"))</f>
        <v/>
      </c>
    </row>
    <row r="268" customFormat="false" ht="15" hidden="false" customHeight="false" outlineLevel="0" collapsed="false">
      <c r="A268" s="23"/>
      <c r="B268" s="23"/>
      <c r="C268" s="10" t="str">
        <f aca="false">IF($B268="","",IFERROR(INDEX(Inventory!$B$2:$B$381,MATCH($B268,Inventory!$A$2:$A$381,0)),"unknown ID"))</f>
        <v/>
      </c>
      <c r="D268" s="11" t="str">
        <f aca="false">IF($B268="","",IFERROR(INDEX(Inventory!$E$2:$E$381,MATCH($B268,Inventory!$A$2:$A$381,0)),""))</f>
        <v/>
      </c>
      <c r="E268" s="24"/>
      <c r="F268" s="24"/>
      <c r="G268" s="23"/>
      <c r="H268" s="23"/>
      <c r="I268" s="23"/>
      <c r="J268" s="11" t="str">
        <f aca="false">IF($B268="","",IF($H268="","Out","Returned"))</f>
        <v/>
      </c>
    </row>
    <row r="269" customFormat="false" ht="15" hidden="false" customHeight="false" outlineLevel="0" collapsed="false">
      <c r="A269" s="23"/>
      <c r="B269" s="23"/>
      <c r="C269" s="10" t="str">
        <f aca="false">IF($B269="","",IFERROR(INDEX(Inventory!$B$2:$B$381,MATCH($B269,Inventory!$A$2:$A$381,0)),"unknown ID"))</f>
        <v/>
      </c>
      <c r="D269" s="11" t="str">
        <f aca="false">IF($B269="","",IFERROR(INDEX(Inventory!$E$2:$E$381,MATCH($B269,Inventory!$A$2:$A$381,0)),""))</f>
        <v/>
      </c>
      <c r="E269" s="24"/>
      <c r="F269" s="24"/>
      <c r="G269" s="23"/>
      <c r="H269" s="23"/>
      <c r="I269" s="23"/>
      <c r="J269" s="11" t="str">
        <f aca="false">IF($B269="","",IF($H269="","Out","Returned"))</f>
        <v/>
      </c>
    </row>
    <row r="270" customFormat="false" ht="15" hidden="false" customHeight="false" outlineLevel="0" collapsed="false">
      <c r="A270" s="23"/>
      <c r="B270" s="23"/>
      <c r="C270" s="10" t="str">
        <f aca="false">IF($B270="","",IFERROR(INDEX(Inventory!$B$2:$B$381,MATCH($B270,Inventory!$A$2:$A$381,0)),"unknown ID"))</f>
        <v/>
      </c>
      <c r="D270" s="11" t="str">
        <f aca="false">IF($B270="","",IFERROR(INDEX(Inventory!$E$2:$E$381,MATCH($B270,Inventory!$A$2:$A$381,0)),""))</f>
        <v/>
      </c>
      <c r="E270" s="24"/>
      <c r="F270" s="24"/>
      <c r="G270" s="23"/>
      <c r="H270" s="23"/>
      <c r="I270" s="23"/>
      <c r="J270" s="11" t="str">
        <f aca="false">IF($B270="","",IF($H270="","Out","Returned"))</f>
        <v/>
      </c>
    </row>
    <row r="271" customFormat="false" ht="15" hidden="false" customHeight="false" outlineLevel="0" collapsed="false">
      <c r="A271" s="23"/>
      <c r="B271" s="23"/>
      <c r="C271" s="10" t="str">
        <f aca="false">IF($B271="","",IFERROR(INDEX(Inventory!$B$2:$B$381,MATCH($B271,Inventory!$A$2:$A$381,0)),"unknown ID"))</f>
        <v/>
      </c>
      <c r="D271" s="11" t="str">
        <f aca="false">IF($B271="","",IFERROR(INDEX(Inventory!$E$2:$E$381,MATCH($B271,Inventory!$A$2:$A$381,0)),""))</f>
        <v/>
      </c>
      <c r="E271" s="24"/>
      <c r="F271" s="24"/>
      <c r="G271" s="23"/>
      <c r="H271" s="23"/>
      <c r="I271" s="23"/>
      <c r="J271" s="11" t="str">
        <f aca="false">IF($B271="","",IF($H271="","Out","Returned"))</f>
        <v/>
      </c>
    </row>
    <row r="272" customFormat="false" ht="15" hidden="false" customHeight="false" outlineLevel="0" collapsed="false">
      <c r="A272" s="23"/>
      <c r="B272" s="23"/>
      <c r="C272" s="10" t="str">
        <f aca="false">IF($B272="","",IFERROR(INDEX(Inventory!$B$2:$B$381,MATCH($B272,Inventory!$A$2:$A$381,0)),"unknown ID"))</f>
        <v/>
      </c>
      <c r="D272" s="11" t="str">
        <f aca="false">IF($B272="","",IFERROR(INDEX(Inventory!$E$2:$E$381,MATCH($B272,Inventory!$A$2:$A$381,0)),""))</f>
        <v/>
      </c>
      <c r="E272" s="24"/>
      <c r="F272" s="24"/>
      <c r="G272" s="23"/>
      <c r="H272" s="23"/>
      <c r="I272" s="23"/>
      <c r="J272" s="11" t="str">
        <f aca="false">IF($B272="","",IF($H272="","Out","Returned"))</f>
        <v/>
      </c>
    </row>
    <row r="273" customFormat="false" ht="15" hidden="false" customHeight="false" outlineLevel="0" collapsed="false">
      <c r="A273" s="23"/>
      <c r="B273" s="23"/>
      <c r="C273" s="10" t="str">
        <f aca="false">IF($B273="","",IFERROR(INDEX(Inventory!$B$2:$B$381,MATCH($B273,Inventory!$A$2:$A$381,0)),"unknown ID"))</f>
        <v/>
      </c>
      <c r="D273" s="11" t="str">
        <f aca="false">IF($B273="","",IFERROR(INDEX(Inventory!$E$2:$E$381,MATCH($B273,Inventory!$A$2:$A$381,0)),""))</f>
        <v/>
      </c>
      <c r="E273" s="24"/>
      <c r="F273" s="24"/>
      <c r="G273" s="23"/>
      <c r="H273" s="23"/>
      <c r="I273" s="23"/>
      <c r="J273" s="11" t="str">
        <f aca="false">IF($B273="","",IF($H273="","Out","Returned"))</f>
        <v/>
      </c>
    </row>
    <row r="274" customFormat="false" ht="15" hidden="false" customHeight="false" outlineLevel="0" collapsed="false">
      <c r="A274" s="23"/>
      <c r="B274" s="23"/>
      <c r="C274" s="10" t="str">
        <f aca="false">IF($B274="","",IFERROR(INDEX(Inventory!$B$2:$B$381,MATCH($B274,Inventory!$A$2:$A$381,0)),"unknown ID"))</f>
        <v/>
      </c>
      <c r="D274" s="11" t="str">
        <f aca="false">IF($B274="","",IFERROR(INDEX(Inventory!$E$2:$E$381,MATCH($B274,Inventory!$A$2:$A$381,0)),""))</f>
        <v/>
      </c>
      <c r="E274" s="24"/>
      <c r="F274" s="24"/>
      <c r="G274" s="23"/>
      <c r="H274" s="23"/>
      <c r="I274" s="23"/>
      <c r="J274" s="11" t="str">
        <f aca="false">IF($B274="","",IF($H274="","Out","Returned"))</f>
        <v/>
      </c>
    </row>
    <row r="275" customFormat="false" ht="15" hidden="false" customHeight="false" outlineLevel="0" collapsed="false">
      <c r="A275" s="23"/>
      <c r="B275" s="23"/>
      <c r="C275" s="10" t="str">
        <f aca="false">IF($B275="","",IFERROR(INDEX(Inventory!$B$2:$B$381,MATCH($B275,Inventory!$A$2:$A$381,0)),"unknown ID"))</f>
        <v/>
      </c>
      <c r="D275" s="11" t="str">
        <f aca="false">IF($B275="","",IFERROR(INDEX(Inventory!$E$2:$E$381,MATCH($B275,Inventory!$A$2:$A$381,0)),""))</f>
        <v/>
      </c>
      <c r="E275" s="24"/>
      <c r="F275" s="24"/>
      <c r="G275" s="23"/>
      <c r="H275" s="23"/>
      <c r="I275" s="23"/>
      <c r="J275" s="11" t="str">
        <f aca="false">IF($B275="","",IF($H275="","Out","Returned"))</f>
        <v/>
      </c>
    </row>
    <row r="276" customFormat="false" ht="15" hidden="false" customHeight="false" outlineLevel="0" collapsed="false">
      <c r="A276" s="23"/>
      <c r="B276" s="23"/>
      <c r="C276" s="10" t="str">
        <f aca="false">IF($B276="","",IFERROR(INDEX(Inventory!$B$2:$B$381,MATCH($B276,Inventory!$A$2:$A$381,0)),"unknown ID"))</f>
        <v/>
      </c>
      <c r="D276" s="11" t="str">
        <f aca="false">IF($B276="","",IFERROR(INDEX(Inventory!$E$2:$E$381,MATCH($B276,Inventory!$A$2:$A$381,0)),""))</f>
        <v/>
      </c>
      <c r="E276" s="24"/>
      <c r="F276" s="24"/>
      <c r="G276" s="23"/>
      <c r="H276" s="23"/>
      <c r="I276" s="23"/>
      <c r="J276" s="11" t="str">
        <f aca="false">IF($B276="","",IF($H276="","Out","Returned"))</f>
        <v/>
      </c>
    </row>
    <row r="277" customFormat="false" ht="15" hidden="false" customHeight="false" outlineLevel="0" collapsed="false">
      <c r="A277" s="23"/>
      <c r="B277" s="23"/>
      <c r="C277" s="10" t="str">
        <f aca="false">IF($B277="","",IFERROR(INDEX(Inventory!$B$2:$B$381,MATCH($B277,Inventory!$A$2:$A$381,0)),"unknown ID"))</f>
        <v/>
      </c>
      <c r="D277" s="11" t="str">
        <f aca="false">IF($B277="","",IFERROR(INDEX(Inventory!$E$2:$E$381,MATCH($B277,Inventory!$A$2:$A$381,0)),""))</f>
        <v/>
      </c>
      <c r="E277" s="24"/>
      <c r="F277" s="24"/>
      <c r="G277" s="23"/>
      <c r="H277" s="23"/>
      <c r="I277" s="23"/>
      <c r="J277" s="11" t="str">
        <f aca="false">IF($B277="","",IF($H277="","Out","Returned"))</f>
        <v/>
      </c>
    </row>
    <row r="278" customFormat="false" ht="15" hidden="false" customHeight="false" outlineLevel="0" collapsed="false">
      <c r="A278" s="23"/>
      <c r="B278" s="23"/>
      <c r="C278" s="10" t="str">
        <f aca="false">IF($B278="","",IFERROR(INDEX(Inventory!$B$2:$B$381,MATCH($B278,Inventory!$A$2:$A$381,0)),"unknown ID"))</f>
        <v/>
      </c>
      <c r="D278" s="11" t="str">
        <f aca="false">IF($B278="","",IFERROR(INDEX(Inventory!$E$2:$E$381,MATCH($B278,Inventory!$A$2:$A$381,0)),""))</f>
        <v/>
      </c>
      <c r="E278" s="24"/>
      <c r="F278" s="24"/>
      <c r="G278" s="23"/>
      <c r="H278" s="23"/>
      <c r="I278" s="23"/>
      <c r="J278" s="11" t="str">
        <f aca="false">IF($B278="","",IF($H278="","Out","Returned"))</f>
        <v/>
      </c>
    </row>
    <row r="279" customFormat="false" ht="15" hidden="false" customHeight="false" outlineLevel="0" collapsed="false">
      <c r="A279" s="23"/>
      <c r="B279" s="23"/>
      <c r="C279" s="10" t="str">
        <f aca="false">IF($B279="","",IFERROR(INDEX(Inventory!$B$2:$B$381,MATCH($B279,Inventory!$A$2:$A$381,0)),"unknown ID"))</f>
        <v/>
      </c>
      <c r="D279" s="11" t="str">
        <f aca="false">IF($B279="","",IFERROR(INDEX(Inventory!$E$2:$E$381,MATCH($B279,Inventory!$A$2:$A$381,0)),""))</f>
        <v/>
      </c>
      <c r="E279" s="24"/>
      <c r="F279" s="24"/>
      <c r="G279" s="23"/>
      <c r="H279" s="23"/>
      <c r="I279" s="23"/>
      <c r="J279" s="11" t="str">
        <f aca="false">IF($B279="","",IF($H279="","Out","Returned"))</f>
        <v/>
      </c>
    </row>
    <row r="280" customFormat="false" ht="15" hidden="false" customHeight="false" outlineLevel="0" collapsed="false">
      <c r="A280" s="23"/>
      <c r="B280" s="23"/>
      <c r="C280" s="10" t="str">
        <f aca="false">IF($B280="","",IFERROR(INDEX(Inventory!$B$2:$B$381,MATCH($B280,Inventory!$A$2:$A$381,0)),"unknown ID"))</f>
        <v/>
      </c>
      <c r="D280" s="11" t="str">
        <f aca="false">IF($B280="","",IFERROR(INDEX(Inventory!$E$2:$E$381,MATCH($B280,Inventory!$A$2:$A$381,0)),""))</f>
        <v/>
      </c>
      <c r="E280" s="24"/>
      <c r="F280" s="24"/>
      <c r="G280" s="23"/>
      <c r="H280" s="23"/>
      <c r="I280" s="23"/>
      <c r="J280" s="11" t="str">
        <f aca="false">IF($B280="","",IF($H280="","Out","Returned"))</f>
        <v/>
      </c>
    </row>
    <row r="281" customFormat="false" ht="15" hidden="false" customHeight="false" outlineLevel="0" collapsed="false">
      <c r="A281" s="23"/>
      <c r="B281" s="23"/>
      <c r="C281" s="10" t="str">
        <f aca="false">IF($B281="","",IFERROR(INDEX(Inventory!$B$2:$B$381,MATCH($B281,Inventory!$A$2:$A$381,0)),"unknown ID"))</f>
        <v/>
      </c>
      <c r="D281" s="11" t="str">
        <f aca="false">IF($B281="","",IFERROR(INDEX(Inventory!$E$2:$E$381,MATCH($B281,Inventory!$A$2:$A$381,0)),""))</f>
        <v/>
      </c>
      <c r="E281" s="24"/>
      <c r="F281" s="24"/>
      <c r="G281" s="23"/>
      <c r="H281" s="23"/>
      <c r="I281" s="23"/>
      <c r="J281" s="11" t="str">
        <f aca="false">IF($B281="","",IF($H281="","Out","Returned"))</f>
        <v/>
      </c>
    </row>
    <row r="282" customFormat="false" ht="15" hidden="false" customHeight="false" outlineLevel="0" collapsed="false">
      <c r="A282" s="23"/>
      <c r="B282" s="23"/>
      <c r="C282" s="10" t="str">
        <f aca="false">IF($B282="","",IFERROR(INDEX(Inventory!$B$2:$B$381,MATCH($B282,Inventory!$A$2:$A$381,0)),"unknown ID"))</f>
        <v/>
      </c>
      <c r="D282" s="11" t="str">
        <f aca="false">IF($B282="","",IFERROR(INDEX(Inventory!$E$2:$E$381,MATCH($B282,Inventory!$A$2:$A$381,0)),""))</f>
        <v/>
      </c>
      <c r="E282" s="24"/>
      <c r="F282" s="24"/>
      <c r="G282" s="23"/>
      <c r="H282" s="23"/>
      <c r="I282" s="23"/>
      <c r="J282" s="11" t="str">
        <f aca="false">IF($B282="","",IF($H282="","Out","Returned"))</f>
        <v/>
      </c>
    </row>
    <row r="283" customFormat="false" ht="15" hidden="false" customHeight="false" outlineLevel="0" collapsed="false">
      <c r="A283" s="23"/>
      <c r="B283" s="23"/>
      <c r="C283" s="10" t="str">
        <f aca="false">IF($B283="","",IFERROR(INDEX(Inventory!$B$2:$B$381,MATCH($B283,Inventory!$A$2:$A$381,0)),"unknown ID"))</f>
        <v/>
      </c>
      <c r="D283" s="11" t="str">
        <f aca="false">IF($B283="","",IFERROR(INDEX(Inventory!$E$2:$E$381,MATCH($B283,Inventory!$A$2:$A$381,0)),""))</f>
        <v/>
      </c>
      <c r="E283" s="24"/>
      <c r="F283" s="24"/>
      <c r="G283" s="23"/>
      <c r="H283" s="23"/>
      <c r="I283" s="23"/>
      <c r="J283" s="11" t="str">
        <f aca="false">IF($B283="","",IF($H283="","Out","Returned"))</f>
        <v/>
      </c>
    </row>
    <row r="284" customFormat="false" ht="15" hidden="false" customHeight="false" outlineLevel="0" collapsed="false">
      <c r="A284" s="23"/>
      <c r="B284" s="23"/>
      <c r="C284" s="10" t="str">
        <f aca="false">IF($B284="","",IFERROR(INDEX(Inventory!$B$2:$B$381,MATCH($B284,Inventory!$A$2:$A$381,0)),"unknown ID"))</f>
        <v/>
      </c>
      <c r="D284" s="11" t="str">
        <f aca="false">IF($B284="","",IFERROR(INDEX(Inventory!$E$2:$E$381,MATCH($B284,Inventory!$A$2:$A$381,0)),""))</f>
        <v/>
      </c>
      <c r="E284" s="24"/>
      <c r="F284" s="24"/>
      <c r="G284" s="23"/>
      <c r="H284" s="23"/>
      <c r="I284" s="23"/>
      <c r="J284" s="11" t="str">
        <f aca="false">IF($B284="","",IF($H284="","Out","Returned"))</f>
        <v/>
      </c>
    </row>
    <row r="285" customFormat="false" ht="15" hidden="false" customHeight="false" outlineLevel="0" collapsed="false">
      <c r="A285" s="23"/>
      <c r="B285" s="23"/>
      <c r="C285" s="10" t="str">
        <f aca="false">IF($B285="","",IFERROR(INDEX(Inventory!$B$2:$B$381,MATCH($B285,Inventory!$A$2:$A$381,0)),"unknown ID"))</f>
        <v/>
      </c>
      <c r="D285" s="11" t="str">
        <f aca="false">IF($B285="","",IFERROR(INDEX(Inventory!$E$2:$E$381,MATCH($B285,Inventory!$A$2:$A$381,0)),""))</f>
        <v/>
      </c>
      <c r="E285" s="24"/>
      <c r="F285" s="24"/>
      <c r="G285" s="23"/>
      <c r="H285" s="23"/>
      <c r="I285" s="23"/>
      <c r="J285" s="11" t="str">
        <f aca="false">IF($B285="","",IF($H285="","Out","Returned"))</f>
        <v/>
      </c>
    </row>
    <row r="286" customFormat="false" ht="15" hidden="false" customHeight="false" outlineLevel="0" collapsed="false">
      <c r="A286" s="23"/>
      <c r="B286" s="23"/>
      <c r="C286" s="10" t="str">
        <f aca="false">IF($B286="","",IFERROR(INDEX(Inventory!$B$2:$B$381,MATCH($B286,Inventory!$A$2:$A$381,0)),"unknown ID"))</f>
        <v/>
      </c>
      <c r="D286" s="11" t="str">
        <f aca="false">IF($B286="","",IFERROR(INDEX(Inventory!$E$2:$E$381,MATCH($B286,Inventory!$A$2:$A$381,0)),""))</f>
        <v/>
      </c>
      <c r="E286" s="24"/>
      <c r="F286" s="24"/>
      <c r="G286" s="23"/>
      <c r="H286" s="23"/>
      <c r="I286" s="23"/>
      <c r="J286" s="11" t="str">
        <f aca="false">IF($B286="","",IF($H286="","Out","Returned"))</f>
        <v/>
      </c>
    </row>
    <row r="287" customFormat="false" ht="15" hidden="false" customHeight="false" outlineLevel="0" collapsed="false">
      <c r="A287" s="23"/>
      <c r="B287" s="23"/>
      <c r="C287" s="10" t="str">
        <f aca="false">IF($B287="","",IFERROR(INDEX(Inventory!$B$2:$B$381,MATCH($B287,Inventory!$A$2:$A$381,0)),"unknown ID"))</f>
        <v/>
      </c>
      <c r="D287" s="11" t="str">
        <f aca="false">IF($B287="","",IFERROR(INDEX(Inventory!$E$2:$E$381,MATCH($B287,Inventory!$A$2:$A$381,0)),""))</f>
        <v/>
      </c>
      <c r="E287" s="24"/>
      <c r="F287" s="24"/>
      <c r="G287" s="23"/>
      <c r="H287" s="23"/>
      <c r="I287" s="23"/>
      <c r="J287" s="11" t="str">
        <f aca="false">IF($B287="","",IF($H287="","Out","Returned"))</f>
        <v/>
      </c>
    </row>
    <row r="288" customFormat="false" ht="15" hidden="false" customHeight="false" outlineLevel="0" collapsed="false">
      <c r="A288" s="23"/>
      <c r="B288" s="23"/>
      <c r="C288" s="10" t="str">
        <f aca="false">IF($B288="","",IFERROR(INDEX(Inventory!$B$2:$B$381,MATCH($B288,Inventory!$A$2:$A$381,0)),"unknown ID"))</f>
        <v/>
      </c>
      <c r="D288" s="11" t="str">
        <f aca="false">IF($B288="","",IFERROR(INDEX(Inventory!$E$2:$E$381,MATCH($B288,Inventory!$A$2:$A$381,0)),""))</f>
        <v/>
      </c>
      <c r="E288" s="24"/>
      <c r="F288" s="24"/>
      <c r="G288" s="23"/>
      <c r="H288" s="23"/>
      <c r="I288" s="23"/>
      <c r="J288" s="11" t="str">
        <f aca="false">IF($B288="","",IF($H288="","Out","Returned"))</f>
        <v/>
      </c>
    </row>
    <row r="289" customFormat="false" ht="15" hidden="false" customHeight="false" outlineLevel="0" collapsed="false">
      <c r="A289" s="23"/>
      <c r="B289" s="23"/>
      <c r="C289" s="10" t="str">
        <f aca="false">IF($B289="","",IFERROR(INDEX(Inventory!$B$2:$B$381,MATCH($B289,Inventory!$A$2:$A$381,0)),"unknown ID"))</f>
        <v/>
      </c>
      <c r="D289" s="11" t="str">
        <f aca="false">IF($B289="","",IFERROR(INDEX(Inventory!$E$2:$E$381,MATCH($B289,Inventory!$A$2:$A$381,0)),""))</f>
        <v/>
      </c>
      <c r="E289" s="24"/>
      <c r="F289" s="24"/>
      <c r="G289" s="23"/>
      <c r="H289" s="23"/>
      <c r="I289" s="23"/>
      <c r="J289" s="11" t="str">
        <f aca="false">IF($B289="","",IF($H289="","Out","Returned"))</f>
        <v/>
      </c>
    </row>
    <row r="290" customFormat="false" ht="15" hidden="false" customHeight="false" outlineLevel="0" collapsed="false">
      <c r="A290" s="23"/>
      <c r="B290" s="23"/>
      <c r="C290" s="10" t="str">
        <f aca="false">IF($B290="","",IFERROR(INDEX(Inventory!$B$2:$B$381,MATCH($B290,Inventory!$A$2:$A$381,0)),"unknown ID"))</f>
        <v/>
      </c>
      <c r="D290" s="11" t="str">
        <f aca="false">IF($B290="","",IFERROR(INDEX(Inventory!$E$2:$E$381,MATCH($B290,Inventory!$A$2:$A$381,0)),""))</f>
        <v/>
      </c>
      <c r="E290" s="24"/>
      <c r="F290" s="24"/>
      <c r="G290" s="23"/>
      <c r="H290" s="23"/>
      <c r="I290" s="23"/>
      <c r="J290" s="11" t="str">
        <f aca="false">IF($B290="","",IF($H290="","Out","Returned"))</f>
        <v/>
      </c>
    </row>
    <row r="291" customFormat="false" ht="15" hidden="false" customHeight="false" outlineLevel="0" collapsed="false">
      <c r="A291" s="23"/>
      <c r="B291" s="23"/>
      <c r="C291" s="10" t="str">
        <f aca="false">IF($B291="","",IFERROR(INDEX(Inventory!$B$2:$B$381,MATCH($B291,Inventory!$A$2:$A$381,0)),"unknown ID"))</f>
        <v/>
      </c>
      <c r="D291" s="11" t="str">
        <f aca="false">IF($B291="","",IFERROR(INDEX(Inventory!$E$2:$E$381,MATCH($B291,Inventory!$A$2:$A$381,0)),""))</f>
        <v/>
      </c>
      <c r="E291" s="24"/>
      <c r="F291" s="24"/>
      <c r="G291" s="23"/>
      <c r="H291" s="23"/>
      <c r="I291" s="23"/>
      <c r="J291" s="11" t="str">
        <f aca="false">IF($B291="","",IF($H291="","Out","Returned"))</f>
        <v/>
      </c>
    </row>
    <row r="292" customFormat="false" ht="15" hidden="false" customHeight="false" outlineLevel="0" collapsed="false">
      <c r="A292" s="23"/>
      <c r="B292" s="23"/>
      <c r="C292" s="10" t="str">
        <f aca="false">IF($B292="","",IFERROR(INDEX(Inventory!$B$2:$B$381,MATCH($B292,Inventory!$A$2:$A$381,0)),"unknown ID"))</f>
        <v/>
      </c>
      <c r="D292" s="11" t="str">
        <f aca="false">IF($B292="","",IFERROR(INDEX(Inventory!$E$2:$E$381,MATCH($B292,Inventory!$A$2:$A$381,0)),""))</f>
        <v/>
      </c>
      <c r="E292" s="24"/>
      <c r="F292" s="24"/>
      <c r="G292" s="23"/>
      <c r="H292" s="23"/>
      <c r="I292" s="23"/>
      <c r="J292" s="11" t="str">
        <f aca="false">IF($B292="","",IF($H292="","Out","Returned"))</f>
        <v/>
      </c>
    </row>
    <row r="293" customFormat="false" ht="15" hidden="false" customHeight="false" outlineLevel="0" collapsed="false">
      <c r="A293" s="23"/>
      <c r="B293" s="23"/>
      <c r="C293" s="10" t="str">
        <f aca="false">IF($B293="","",IFERROR(INDEX(Inventory!$B$2:$B$381,MATCH($B293,Inventory!$A$2:$A$381,0)),"unknown ID"))</f>
        <v/>
      </c>
      <c r="D293" s="11" t="str">
        <f aca="false">IF($B293="","",IFERROR(INDEX(Inventory!$E$2:$E$381,MATCH($B293,Inventory!$A$2:$A$381,0)),""))</f>
        <v/>
      </c>
      <c r="E293" s="24"/>
      <c r="F293" s="24"/>
      <c r="G293" s="23"/>
      <c r="H293" s="23"/>
      <c r="I293" s="23"/>
      <c r="J293" s="11" t="str">
        <f aca="false">IF($B293="","",IF($H293="","Out","Returned"))</f>
        <v/>
      </c>
    </row>
    <row r="294" customFormat="false" ht="15" hidden="false" customHeight="false" outlineLevel="0" collapsed="false">
      <c r="A294" s="23"/>
      <c r="B294" s="23"/>
      <c r="C294" s="10" t="str">
        <f aca="false">IF($B294="","",IFERROR(INDEX(Inventory!$B$2:$B$381,MATCH($B294,Inventory!$A$2:$A$381,0)),"unknown ID"))</f>
        <v/>
      </c>
      <c r="D294" s="11" t="str">
        <f aca="false">IF($B294="","",IFERROR(INDEX(Inventory!$E$2:$E$381,MATCH($B294,Inventory!$A$2:$A$381,0)),""))</f>
        <v/>
      </c>
      <c r="E294" s="24"/>
      <c r="F294" s="24"/>
      <c r="G294" s="23"/>
      <c r="H294" s="23"/>
      <c r="I294" s="23"/>
      <c r="J294" s="11" t="str">
        <f aca="false">IF($B294="","",IF($H294="","Out","Returned"))</f>
        <v/>
      </c>
    </row>
    <row r="295" customFormat="false" ht="15" hidden="false" customHeight="false" outlineLevel="0" collapsed="false">
      <c r="A295" s="23"/>
      <c r="B295" s="23"/>
      <c r="C295" s="10" t="str">
        <f aca="false">IF($B295="","",IFERROR(INDEX(Inventory!$B$2:$B$381,MATCH($B295,Inventory!$A$2:$A$381,0)),"unknown ID"))</f>
        <v/>
      </c>
      <c r="D295" s="11" t="str">
        <f aca="false">IF($B295="","",IFERROR(INDEX(Inventory!$E$2:$E$381,MATCH($B295,Inventory!$A$2:$A$381,0)),""))</f>
        <v/>
      </c>
      <c r="E295" s="24"/>
      <c r="F295" s="24"/>
      <c r="G295" s="23"/>
      <c r="H295" s="23"/>
      <c r="I295" s="23"/>
      <c r="J295" s="11" t="str">
        <f aca="false">IF($B295="","",IF($H295="","Out","Returned"))</f>
        <v/>
      </c>
    </row>
    <row r="296" customFormat="false" ht="15" hidden="false" customHeight="false" outlineLevel="0" collapsed="false">
      <c r="A296" s="23"/>
      <c r="B296" s="23"/>
      <c r="C296" s="10" t="str">
        <f aca="false">IF($B296="","",IFERROR(INDEX(Inventory!$B$2:$B$381,MATCH($B296,Inventory!$A$2:$A$381,0)),"unknown ID"))</f>
        <v/>
      </c>
      <c r="D296" s="11" t="str">
        <f aca="false">IF($B296="","",IFERROR(INDEX(Inventory!$E$2:$E$381,MATCH($B296,Inventory!$A$2:$A$381,0)),""))</f>
        <v/>
      </c>
      <c r="E296" s="24"/>
      <c r="F296" s="24"/>
      <c r="G296" s="23"/>
      <c r="H296" s="23"/>
      <c r="I296" s="23"/>
      <c r="J296" s="11" t="str">
        <f aca="false">IF($B296="","",IF($H296="","Out","Returned"))</f>
        <v/>
      </c>
    </row>
    <row r="297" customFormat="false" ht="15" hidden="false" customHeight="false" outlineLevel="0" collapsed="false">
      <c r="A297" s="23"/>
      <c r="B297" s="23"/>
      <c r="C297" s="10" t="str">
        <f aca="false">IF($B297="","",IFERROR(INDEX(Inventory!$B$2:$B$381,MATCH($B297,Inventory!$A$2:$A$381,0)),"unknown ID"))</f>
        <v/>
      </c>
      <c r="D297" s="11" t="str">
        <f aca="false">IF($B297="","",IFERROR(INDEX(Inventory!$E$2:$E$381,MATCH($B297,Inventory!$A$2:$A$381,0)),""))</f>
        <v/>
      </c>
      <c r="E297" s="24"/>
      <c r="F297" s="24"/>
      <c r="G297" s="23"/>
      <c r="H297" s="23"/>
      <c r="I297" s="23"/>
      <c r="J297" s="11" t="str">
        <f aca="false">IF($B297="","",IF($H297="","Out","Returned"))</f>
        <v/>
      </c>
    </row>
    <row r="298" customFormat="false" ht="15" hidden="false" customHeight="false" outlineLevel="0" collapsed="false">
      <c r="A298" s="23"/>
      <c r="B298" s="23"/>
      <c r="C298" s="10" t="str">
        <f aca="false">IF($B298="","",IFERROR(INDEX(Inventory!$B$2:$B$381,MATCH($B298,Inventory!$A$2:$A$381,0)),"unknown ID"))</f>
        <v/>
      </c>
      <c r="D298" s="11" t="str">
        <f aca="false">IF($B298="","",IFERROR(INDEX(Inventory!$E$2:$E$381,MATCH($B298,Inventory!$A$2:$A$381,0)),""))</f>
        <v/>
      </c>
      <c r="E298" s="24"/>
      <c r="F298" s="24"/>
      <c r="G298" s="23"/>
      <c r="H298" s="23"/>
      <c r="I298" s="23"/>
      <c r="J298" s="11" t="str">
        <f aca="false">IF($B298="","",IF($H298="","Out","Returned"))</f>
        <v/>
      </c>
    </row>
    <row r="299" customFormat="false" ht="15" hidden="false" customHeight="false" outlineLevel="0" collapsed="false">
      <c r="A299" s="23"/>
      <c r="B299" s="23"/>
      <c r="C299" s="10" t="str">
        <f aca="false">IF($B299="","",IFERROR(INDEX(Inventory!$B$2:$B$381,MATCH($B299,Inventory!$A$2:$A$381,0)),"unknown ID"))</f>
        <v/>
      </c>
      <c r="D299" s="11" t="str">
        <f aca="false">IF($B299="","",IFERROR(INDEX(Inventory!$E$2:$E$381,MATCH($B299,Inventory!$A$2:$A$381,0)),""))</f>
        <v/>
      </c>
      <c r="E299" s="24"/>
      <c r="F299" s="24"/>
      <c r="G299" s="23"/>
      <c r="H299" s="23"/>
      <c r="I299" s="23"/>
      <c r="J299" s="11" t="str">
        <f aca="false">IF($B299="","",IF($H299="","Out","Returned"))</f>
        <v/>
      </c>
    </row>
    <row r="300" customFormat="false" ht="15" hidden="false" customHeight="false" outlineLevel="0" collapsed="false">
      <c r="A300" s="23"/>
      <c r="B300" s="23"/>
      <c r="C300" s="10" t="str">
        <f aca="false">IF($B300="","",IFERROR(INDEX(Inventory!$B$2:$B$381,MATCH($B300,Inventory!$A$2:$A$381,0)),"unknown ID"))</f>
        <v/>
      </c>
      <c r="D300" s="11" t="str">
        <f aca="false">IF($B300="","",IFERROR(INDEX(Inventory!$E$2:$E$381,MATCH($B300,Inventory!$A$2:$A$381,0)),""))</f>
        <v/>
      </c>
      <c r="E300" s="24"/>
      <c r="F300" s="24"/>
      <c r="G300" s="23"/>
      <c r="H300" s="23"/>
      <c r="I300" s="23"/>
      <c r="J300" s="11" t="str">
        <f aca="false">IF($B300="","",IF($H300="","Out","Returned"))</f>
        <v/>
      </c>
    </row>
    <row r="301" customFormat="false" ht="15" hidden="false" customHeight="false" outlineLevel="0" collapsed="false">
      <c r="A301" s="23"/>
      <c r="B301" s="23"/>
      <c r="C301" s="10" t="str">
        <f aca="false">IF($B301="","",IFERROR(INDEX(Inventory!$B$2:$B$381,MATCH($B301,Inventory!$A$2:$A$381,0)),"unknown ID"))</f>
        <v/>
      </c>
      <c r="D301" s="11" t="str">
        <f aca="false">IF($B301="","",IFERROR(INDEX(Inventory!$E$2:$E$381,MATCH($B301,Inventory!$A$2:$A$381,0)),""))</f>
        <v/>
      </c>
      <c r="E301" s="24"/>
      <c r="F301" s="24"/>
      <c r="G301" s="23"/>
      <c r="H301" s="23"/>
      <c r="I301" s="23"/>
      <c r="J301" s="11" t="str">
        <f aca="false">IF($B301="","",IF($H301="","Out","Returned"))</f>
        <v/>
      </c>
    </row>
    <row r="302" customFormat="false" ht="15" hidden="false" customHeight="false" outlineLevel="0" collapsed="false">
      <c r="A302" s="23"/>
      <c r="B302" s="23"/>
      <c r="C302" s="10" t="str">
        <f aca="false">IF($B302="","",IFERROR(INDEX(Inventory!$B$2:$B$381,MATCH($B302,Inventory!$A$2:$A$381,0)),"unknown ID"))</f>
        <v/>
      </c>
      <c r="D302" s="11" t="str">
        <f aca="false">IF($B302="","",IFERROR(INDEX(Inventory!$E$2:$E$381,MATCH($B302,Inventory!$A$2:$A$381,0)),""))</f>
        <v/>
      </c>
      <c r="E302" s="24"/>
      <c r="F302" s="24"/>
      <c r="G302" s="23"/>
      <c r="H302" s="23"/>
      <c r="I302" s="23"/>
      <c r="J302" s="11" t="str">
        <f aca="false">IF($B302="","",IF($H302="","Out","Returned"))</f>
        <v/>
      </c>
    </row>
    <row r="303" customFormat="false" ht="15" hidden="false" customHeight="false" outlineLevel="0" collapsed="false">
      <c r="A303" s="23"/>
      <c r="B303" s="23"/>
      <c r="C303" s="10" t="str">
        <f aca="false">IF($B303="","",IFERROR(INDEX(Inventory!$B$2:$B$381,MATCH($B303,Inventory!$A$2:$A$381,0)),"unknown ID"))</f>
        <v/>
      </c>
      <c r="D303" s="11" t="str">
        <f aca="false">IF($B303="","",IFERROR(INDEX(Inventory!$E$2:$E$381,MATCH($B303,Inventory!$A$2:$A$381,0)),""))</f>
        <v/>
      </c>
      <c r="E303" s="24"/>
      <c r="F303" s="24"/>
      <c r="G303" s="23"/>
      <c r="H303" s="23"/>
      <c r="I303" s="23"/>
      <c r="J303" s="11" t="str">
        <f aca="false">IF($B303="","",IF($H303="","Out","Returned"))</f>
        <v/>
      </c>
    </row>
    <row r="304" customFormat="false" ht="15" hidden="false" customHeight="false" outlineLevel="0" collapsed="false">
      <c r="A304" s="23"/>
      <c r="B304" s="23"/>
      <c r="C304" s="10" t="str">
        <f aca="false">IF($B304="","",IFERROR(INDEX(Inventory!$B$2:$B$381,MATCH($B304,Inventory!$A$2:$A$381,0)),"unknown ID"))</f>
        <v/>
      </c>
      <c r="D304" s="11" t="str">
        <f aca="false">IF($B304="","",IFERROR(INDEX(Inventory!$E$2:$E$381,MATCH($B304,Inventory!$A$2:$A$381,0)),""))</f>
        <v/>
      </c>
      <c r="E304" s="24"/>
      <c r="F304" s="24"/>
      <c r="G304" s="23"/>
      <c r="H304" s="23"/>
      <c r="I304" s="23"/>
      <c r="J304" s="11" t="str">
        <f aca="false">IF($B304="","",IF($H304="","Out","Returned"))</f>
        <v/>
      </c>
    </row>
    <row r="305" customFormat="false" ht="15" hidden="false" customHeight="false" outlineLevel="0" collapsed="false">
      <c r="A305" s="23"/>
      <c r="B305" s="23"/>
      <c r="C305" s="10" t="str">
        <f aca="false">IF($B305="","",IFERROR(INDEX(Inventory!$B$2:$B$381,MATCH($B305,Inventory!$A$2:$A$381,0)),"unknown ID"))</f>
        <v/>
      </c>
      <c r="D305" s="11" t="str">
        <f aca="false">IF($B305="","",IFERROR(INDEX(Inventory!$E$2:$E$381,MATCH($B305,Inventory!$A$2:$A$381,0)),""))</f>
        <v/>
      </c>
      <c r="E305" s="24"/>
      <c r="F305" s="24"/>
      <c r="G305" s="23"/>
      <c r="H305" s="23"/>
      <c r="I305" s="23"/>
      <c r="J305" s="11" t="str">
        <f aca="false">IF($B305="","",IF($H305="","Out","Returned"))</f>
        <v/>
      </c>
    </row>
    <row r="306" customFormat="false" ht="15" hidden="false" customHeight="false" outlineLevel="0" collapsed="false">
      <c r="A306" s="23"/>
      <c r="B306" s="23"/>
      <c r="C306" s="10" t="str">
        <f aca="false">IF($B306="","",IFERROR(INDEX(Inventory!$B$2:$B$381,MATCH($B306,Inventory!$A$2:$A$381,0)),"unknown ID"))</f>
        <v/>
      </c>
      <c r="D306" s="11" t="str">
        <f aca="false">IF($B306="","",IFERROR(INDEX(Inventory!$E$2:$E$381,MATCH($B306,Inventory!$A$2:$A$381,0)),""))</f>
        <v/>
      </c>
      <c r="E306" s="24"/>
      <c r="F306" s="24"/>
      <c r="G306" s="23"/>
      <c r="H306" s="23"/>
      <c r="I306" s="23"/>
      <c r="J306" s="11" t="str">
        <f aca="false">IF($B306="","",IF($H306="","Out","Returned"))</f>
        <v/>
      </c>
    </row>
    <row r="307" customFormat="false" ht="15" hidden="false" customHeight="false" outlineLevel="0" collapsed="false">
      <c r="A307" s="23"/>
      <c r="B307" s="23"/>
      <c r="C307" s="10" t="str">
        <f aca="false">IF($B307="","",IFERROR(INDEX(Inventory!$B$2:$B$381,MATCH($B307,Inventory!$A$2:$A$381,0)),"unknown ID"))</f>
        <v/>
      </c>
      <c r="D307" s="11" t="str">
        <f aca="false">IF($B307="","",IFERROR(INDEX(Inventory!$E$2:$E$381,MATCH($B307,Inventory!$A$2:$A$381,0)),""))</f>
        <v/>
      </c>
      <c r="E307" s="24"/>
      <c r="F307" s="24"/>
      <c r="G307" s="23"/>
      <c r="H307" s="23"/>
      <c r="I307" s="23"/>
      <c r="J307" s="11" t="str">
        <f aca="false">IF($B307="","",IF($H307="","Out","Returned"))</f>
        <v/>
      </c>
    </row>
    <row r="308" customFormat="false" ht="15" hidden="false" customHeight="false" outlineLevel="0" collapsed="false">
      <c r="A308" s="23"/>
      <c r="B308" s="23"/>
      <c r="C308" s="10" t="str">
        <f aca="false">IF($B308="","",IFERROR(INDEX(Inventory!$B$2:$B$381,MATCH($B308,Inventory!$A$2:$A$381,0)),"unknown ID"))</f>
        <v/>
      </c>
      <c r="D308" s="11" t="str">
        <f aca="false">IF($B308="","",IFERROR(INDEX(Inventory!$E$2:$E$381,MATCH($B308,Inventory!$A$2:$A$381,0)),""))</f>
        <v/>
      </c>
      <c r="E308" s="24"/>
      <c r="F308" s="24"/>
      <c r="G308" s="23"/>
      <c r="H308" s="23"/>
      <c r="I308" s="23"/>
      <c r="J308" s="11" t="str">
        <f aca="false">IF($B308="","",IF($H308="","Out","Returned"))</f>
        <v/>
      </c>
    </row>
    <row r="309" customFormat="false" ht="15" hidden="false" customHeight="false" outlineLevel="0" collapsed="false">
      <c r="A309" s="23"/>
      <c r="B309" s="23"/>
      <c r="C309" s="10" t="str">
        <f aca="false">IF($B309="","",IFERROR(INDEX(Inventory!$B$2:$B$381,MATCH($B309,Inventory!$A$2:$A$381,0)),"unknown ID"))</f>
        <v/>
      </c>
      <c r="D309" s="11" t="str">
        <f aca="false">IF($B309="","",IFERROR(INDEX(Inventory!$E$2:$E$381,MATCH($B309,Inventory!$A$2:$A$381,0)),""))</f>
        <v/>
      </c>
      <c r="E309" s="24"/>
      <c r="F309" s="24"/>
      <c r="G309" s="23"/>
      <c r="H309" s="23"/>
      <c r="I309" s="23"/>
      <c r="J309" s="11" t="str">
        <f aca="false">IF($B309="","",IF($H309="","Out","Returned"))</f>
        <v/>
      </c>
    </row>
    <row r="310" customFormat="false" ht="15" hidden="false" customHeight="false" outlineLevel="0" collapsed="false">
      <c r="A310" s="23"/>
      <c r="B310" s="23"/>
      <c r="C310" s="10" t="str">
        <f aca="false">IF($B310="","",IFERROR(INDEX(Inventory!$B$2:$B$381,MATCH($B310,Inventory!$A$2:$A$381,0)),"unknown ID"))</f>
        <v/>
      </c>
      <c r="D310" s="11" t="str">
        <f aca="false">IF($B310="","",IFERROR(INDEX(Inventory!$E$2:$E$381,MATCH($B310,Inventory!$A$2:$A$381,0)),""))</f>
        <v/>
      </c>
      <c r="E310" s="24"/>
      <c r="F310" s="24"/>
      <c r="G310" s="23"/>
      <c r="H310" s="23"/>
      <c r="I310" s="23"/>
      <c r="J310" s="11" t="str">
        <f aca="false">IF($B310="","",IF($H310="","Out","Returned"))</f>
        <v/>
      </c>
    </row>
    <row r="311" customFormat="false" ht="15" hidden="false" customHeight="false" outlineLevel="0" collapsed="false">
      <c r="A311" s="23"/>
      <c r="B311" s="23"/>
      <c r="C311" s="10" t="str">
        <f aca="false">IF($B311="","",IFERROR(INDEX(Inventory!$B$2:$B$381,MATCH($B311,Inventory!$A$2:$A$381,0)),"unknown ID"))</f>
        <v/>
      </c>
      <c r="D311" s="11" t="str">
        <f aca="false">IF($B311="","",IFERROR(INDEX(Inventory!$E$2:$E$381,MATCH($B311,Inventory!$A$2:$A$381,0)),""))</f>
        <v/>
      </c>
      <c r="E311" s="24"/>
      <c r="F311" s="24"/>
      <c r="G311" s="23"/>
      <c r="H311" s="23"/>
      <c r="I311" s="23"/>
      <c r="J311" s="11" t="str">
        <f aca="false">IF($B311="","",IF($H311="","Out","Returned"))</f>
        <v/>
      </c>
    </row>
    <row r="312" customFormat="false" ht="15" hidden="false" customHeight="false" outlineLevel="0" collapsed="false">
      <c r="A312" s="23"/>
      <c r="B312" s="23"/>
      <c r="C312" s="10" t="str">
        <f aca="false">IF($B312="","",IFERROR(INDEX(Inventory!$B$2:$B$381,MATCH($B312,Inventory!$A$2:$A$381,0)),"unknown ID"))</f>
        <v/>
      </c>
      <c r="D312" s="11" t="str">
        <f aca="false">IF($B312="","",IFERROR(INDEX(Inventory!$E$2:$E$381,MATCH($B312,Inventory!$A$2:$A$381,0)),""))</f>
        <v/>
      </c>
      <c r="E312" s="24"/>
      <c r="F312" s="24"/>
      <c r="G312" s="23"/>
      <c r="H312" s="23"/>
      <c r="I312" s="23"/>
      <c r="J312" s="11" t="str">
        <f aca="false">IF($B312="","",IF($H312="","Out","Returned"))</f>
        <v/>
      </c>
    </row>
    <row r="313" customFormat="false" ht="15" hidden="false" customHeight="false" outlineLevel="0" collapsed="false">
      <c r="A313" s="23"/>
      <c r="B313" s="23"/>
      <c r="C313" s="10" t="str">
        <f aca="false">IF($B313="","",IFERROR(INDEX(Inventory!$B$2:$B$381,MATCH($B313,Inventory!$A$2:$A$381,0)),"unknown ID"))</f>
        <v/>
      </c>
      <c r="D313" s="11" t="str">
        <f aca="false">IF($B313="","",IFERROR(INDEX(Inventory!$E$2:$E$381,MATCH($B313,Inventory!$A$2:$A$381,0)),""))</f>
        <v/>
      </c>
      <c r="E313" s="24"/>
      <c r="F313" s="24"/>
      <c r="G313" s="23"/>
      <c r="H313" s="23"/>
      <c r="I313" s="23"/>
      <c r="J313" s="11" t="str">
        <f aca="false">IF($B313="","",IF($H313="","Out","Returned"))</f>
        <v/>
      </c>
    </row>
    <row r="314" customFormat="false" ht="15" hidden="false" customHeight="false" outlineLevel="0" collapsed="false">
      <c r="A314" s="23"/>
      <c r="B314" s="23"/>
      <c r="C314" s="10" t="str">
        <f aca="false">IF($B314="","",IFERROR(INDEX(Inventory!$B$2:$B$381,MATCH($B314,Inventory!$A$2:$A$381,0)),"unknown ID"))</f>
        <v/>
      </c>
      <c r="D314" s="11" t="str">
        <f aca="false">IF($B314="","",IFERROR(INDEX(Inventory!$E$2:$E$381,MATCH($B314,Inventory!$A$2:$A$381,0)),""))</f>
        <v/>
      </c>
      <c r="E314" s="24"/>
      <c r="F314" s="24"/>
      <c r="G314" s="23"/>
      <c r="H314" s="23"/>
      <c r="I314" s="23"/>
      <c r="J314" s="11" t="str">
        <f aca="false">IF($B314="","",IF($H314="","Out","Returned"))</f>
        <v/>
      </c>
    </row>
    <row r="315" customFormat="false" ht="15" hidden="false" customHeight="false" outlineLevel="0" collapsed="false">
      <c r="A315" s="23"/>
      <c r="B315" s="23"/>
      <c r="C315" s="10" t="str">
        <f aca="false">IF($B315="","",IFERROR(INDEX(Inventory!$B$2:$B$381,MATCH($B315,Inventory!$A$2:$A$381,0)),"unknown ID"))</f>
        <v/>
      </c>
      <c r="D315" s="11" t="str">
        <f aca="false">IF($B315="","",IFERROR(INDEX(Inventory!$E$2:$E$381,MATCH($B315,Inventory!$A$2:$A$381,0)),""))</f>
        <v/>
      </c>
      <c r="E315" s="24"/>
      <c r="F315" s="24"/>
      <c r="G315" s="23"/>
      <c r="H315" s="23"/>
      <c r="I315" s="23"/>
      <c r="J315" s="11" t="str">
        <f aca="false">IF($B315="","",IF($H315="","Out","Returned"))</f>
        <v/>
      </c>
    </row>
    <row r="316" customFormat="false" ht="15" hidden="false" customHeight="false" outlineLevel="0" collapsed="false">
      <c r="A316" s="23"/>
      <c r="B316" s="23"/>
      <c r="C316" s="10" t="str">
        <f aca="false">IF($B316="","",IFERROR(INDEX(Inventory!$B$2:$B$381,MATCH($B316,Inventory!$A$2:$A$381,0)),"unknown ID"))</f>
        <v/>
      </c>
      <c r="D316" s="11" t="str">
        <f aca="false">IF($B316="","",IFERROR(INDEX(Inventory!$E$2:$E$381,MATCH($B316,Inventory!$A$2:$A$381,0)),""))</f>
        <v/>
      </c>
      <c r="E316" s="24"/>
      <c r="F316" s="24"/>
      <c r="G316" s="23"/>
      <c r="H316" s="23"/>
      <c r="I316" s="23"/>
      <c r="J316" s="11" t="str">
        <f aca="false">IF($B316="","",IF($H316="","Out","Returned"))</f>
        <v/>
      </c>
    </row>
    <row r="317" customFormat="false" ht="15" hidden="false" customHeight="false" outlineLevel="0" collapsed="false">
      <c r="A317" s="23"/>
      <c r="B317" s="23"/>
      <c r="C317" s="10" t="str">
        <f aca="false">IF($B317="","",IFERROR(INDEX(Inventory!$B$2:$B$381,MATCH($B317,Inventory!$A$2:$A$381,0)),"unknown ID"))</f>
        <v/>
      </c>
      <c r="D317" s="11" t="str">
        <f aca="false">IF($B317="","",IFERROR(INDEX(Inventory!$E$2:$E$381,MATCH($B317,Inventory!$A$2:$A$381,0)),""))</f>
        <v/>
      </c>
      <c r="E317" s="24"/>
      <c r="F317" s="24"/>
      <c r="G317" s="23"/>
      <c r="H317" s="23"/>
      <c r="I317" s="23"/>
      <c r="J317" s="11" t="str">
        <f aca="false">IF($B317="","",IF($H317="","Out","Returned"))</f>
        <v/>
      </c>
    </row>
    <row r="318" customFormat="false" ht="15" hidden="false" customHeight="false" outlineLevel="0" collapsed="false">
      <c r="A318" s="23"/>
      <c r="B318" s="23"/>
      <c r="C318" s="10" t="str">
        <f aca="false">IF($B318="","",IFERROR(INDEX(Inventory!$B$2:$B$381,MATCH($B318,Inventory!$A$2:$A$381,0)),"unknown ID"))</f>
        <v/>
      </c>
      <c r="D318" s="11" t="str">
        <f aca="false">IF($B318="","",IFERROR(INDEX(Inventory!$E$2:$E$381,MATCH($B318,Inventory!$A$2:$A$381,0)),""))</f>
        <v/>
      </c>
      <c r="E318" s="24"/>
      <c r="F318" s="24"/>
      <c r="G318" s="23"/>
      <c r="H318" s="23"/>
      <c r="I318" s="23"/>
      <c r="J318" s="11" t="str">
        <f aca="false">IF($B318="","",IF($H318="","Out","Returned"))</f>
        <v/>
      </c>
    </row>
    <row r="319" customFormat="false" ht="15" hidden="false" customHeight="false" outlineLevel="0" collapsed="false">
      <c r="A319" s="23"/>
      <c r="B319" s="23"/>
      <c r="C319" s="10" t="str">
        <f aca="false">IF($B319="","",IFERROR(INDEX(Inventory!$B$2:$B$381,MATCH($B319,Inventory!$A$2:$A$381,0)),"unknown ID"))</f>
        <v/>
      </c>
      <c r="D319" s="11" t="str">
        <f aca="false">IF($B319="","",IFERROR(INDEX(Inventory!$E$2:$E$381,MATCH($B319,Inventory!$A$2:$A$381,0)),""))</f>
        <v/>
      </c>
      <c r="E319" s="24"/>
      <c r="F319" s="24"/>
      <c r="G319" s="23"/>
      <c r="H319" s="23"/>
      <c r="I319" s="23"/>
      <c r="J319" s="11" t="str">
        <f aca="false">IF($B319="","",IF($H319="","Out","Returned"))</f>
        <v/>
      </c>
    </row>
    <row r="320" customFormat="false" ht="15" hidden="false" customHeight="false" outlineLevel="0" collapsed="false">
      <c r="A320" s="23"/>
      <c r="B320" s="23"/>
      <c r="C320" s="10" t="str">
        <f aca="false">IF($B320="","",IFERROR(INDEX(Inventory!$B$2:$B$381,MATCH($B320,Inventory!$A$2:$A$381,0)),"unknown ID"))</f>
        <v/>
      </c>
      <c r="D320" s="11" t="str">
        <f aca="false">IF($B320="","",IFERROR(INDEX(Inventory!$E$2:$E$381,MATCH($B320,Inventory!$A$2:$A$381,0)),""))</f>
        <v/>
      </c>
      <c r="E320" s="24"/>
      <c r="F320" s="24"/>
      <c r="G320" s="23"/>
      <c r="H320" s="23"/>
      <c r="I320" s="23"/>
      <c r="J320" s="11" t="str">
        <f aca="false">IF($B320="","",IF($H320="","Out","Returned"))</f>
        <v/>
      </c>
    </row>
    <row r="321" customFormat="false" ht="15" hidden="false" customHeight="false" outlineLevel="0" collapsed="false">
      <c r="A321" s="23"/>
      <c r="B321" s="23"/>
      <c r="C321" s="10" t="str">
        <f aca="false">IF($B321="","",IFERROR(INDEX(Inventory!$B$2:$B$381,MATCH($B321,Inventory!$A$2:$A$381,0)),"unknown ID"))</f>
        <v/>
      </c>
      <c r="D321" s="11" t="str">
        <f aca="false">IF($B321="","",IFERROR(INDEX(Inventory!$E$2:$E$381,MATCH($B321,Inventory!$A$2:$A$381,0)),""))</f>
        <v/>
      </c>
      <c r="E321" s="24"/>
      <c r="F321" s="24"/>
      <c r="G321" s="23"/>
      <c r="H321" s="23"/>
      <c r="I321" s="23"/>
      <c r="J321" s="11" t="str">
        <f aca="false">IF($B321="","",IF($H321="","Out","Returned"))</f>
        <v/>
      </c>
    </row>
    <row r="322" customFormat="false" ht="15" hidden="false" customHeight="false" outlineLevel="0" collapsed="false">
      <c r="A322" s="23"/>
      <c r="B322" s="23"/>
      <c r="C322" s="10" t="str">
        <f aca="false">IF($B322="","",IFERROR(INDEX(Inventory!$B$2:$B$381,MATCH($B322,Inventory!$A$2:$A$381,0)),"unknown ID"))</f>
        <v/>
      </c>
      <c r="D322" s="11" t="str">
        <f aca="false">IF($B322="","",IFERROR(INDEX(Inventory!$E$2:$E$381,MATCH($B322,Inventory!$A$2:$A$381,0)),""))</f>
        <v/>
      </c>
      <c r="E322" s="24"/>
      <c r="F322" s="24"/>
      <c r="G322" s="23"/>
      <c r="H322" s="23"/>
      <c r="I322" s="23"/>
      <c r="J322" s="11" t="str">
        <f aca="false">IF($B322="","",IF($H322="","Out","Returned"))</f>
        <v/>
      </c>
    </row>
    <row r="323" customFormat="false" ht="15" hidden="false" customHeight="false" outlineLevel="0" collapsed="false">
      <c r="A323" s="23"/>
      <c r="B323" s="23"/>
      <c r="C323" s="10" t="str">
        <f aca="false">IF($B323="","",IFERROR(INDEX(Inventory!$B$2:$B$381,MATCH($B323,Inventory!$A$2:$A$381,0)),"unknown ID"))</f>
        <v/>
      </c>
      <c r="D323" s="11" t="str">
        <f aca="false">IF($B323="","",IFERROR(INDEX(Inventory!$E$2:$E$381,MATCH($B323,Inventory!$A$2:$A$381,0)),""))</f>
        <v/>
      </c>
      <c r="E323" s="24"/>
      <c r="F323" s="24"/>
      <c r="G323" s="23"/>
      <c r="H323" s="23"/>
      <c r="I323" s="23"/>
      <c r="J323" s="11" t="str">
        <f aca="false">IF($B323="","",IF($H323="","Out","Returned"))</f>
        <v/>
      </c>
    </row>
    <row r="324" customFormat="false" ht="15" hidden="false" customHeight="false" outlineLevel="0" collapsed="false">
      <c r="A324" s="23"/>
      <c r="B324" s="23"/>
      <c r="C324" s="10" t="str">
        <f aca="false">IF($B324="","",IFERROR(INDEX(Inventory!$B$2:$B$381,MATCH($B324,Inventory!$A$2:$A$381,0)),"unknown ID"))</f>
        <v/>
      </c>
      <c r="D324" s="11" t="str">
        <f aca="false">IF($B324="","",IFERROR(INDEX(Inventory!$E$2:$E$381,MATCH($B324,Inventory!$A$2:$A$381,0)),""))</f>
        <v/>
      </c>
      <c r="E324" s="24"/>
      <c r="F324" s="24"/>
      <c r="G324" s="23"/>
      <c r="H324" s="23"/>
      <c r="I324" s="23"/>
      <c r="J324" s="11" t="str">
        <f aca="false">IF($B324="","",IF($H324="","Out","Returned"))</f>
        <v/>
      </c>
    </row>
    <row r="325" customFormat="false" ht="15" hidden="false" customHeight="false" outlineLevel="0" collapsed="false">
      <c r="A325" s="23"/>
      <c r="B325" s="23"/>
      <c r="C325" s="10" t="str">
        <f aca="false">IF($B325="","",IFERROR(INDEX(Inventory!$B$2:$B$381,MATCH($B325,Inventory!$A$2:$A$381,0)),"unknown ID"))</f>
        <v/>
      </c>
      <c r="D325" s="11" t="str">
        <f aca="false">IF($B325="","",IFERROR(INDEX(Inventory!$E$2:$E$381,MATCH($B325,Inventory!$A$2:$A$381,0)),""))</f>
        <v/>
      </c>
      <c r="E325" s="24"/>
      <c r="F325" s="24"/>
      <c r="G325" s="23"/>
      <c r="H325" s="23"/>
      <c r="I325" s="23"/>
      <c r="J325" s="11" t="str">
        <f aca="false">IF($B325="","",IF($H325="","Out","Returned"))</f>
        <v/>
      </c>
    </row>
    <row r="326" customFormat="false" ht="15" hidden="false" customHeight="false" outlineLevel="0" collapsed="false">
      <c r="A326" s="23"/>
      <c r="B326" s="23"/>
      <c r="C326" s="10" t="str">
        <f aca="false">IF($B326="","",IFERROR(INDEX(Inventory!$B$2:$B$381,MATCH($B326,Inventory!$A$2:$A$381,0)),"unknown ID"))</f>
        <v/>
      </c>
      <c r="D326" s="11" t="str">
        <f aca="false">IF($B326="","",IFERROR(INDEX(Inventory!$E$2:$E$381,MATCH($B326,Inventory!$A$2:$A$381,0)),""))</f>
        <v/>
      </c>
      <c r="E326" s="24"/>
      <c r="F326" s="24"/>
      <c r="G326" s="23"/>
      <c r="H326" s="23"/>
      <c r="I326" s="23"/>
      <c r="J326" s="11" t="str">
        <f aca="false">IF($B326="","",IF($H326="","Out","Returned"))</f>
        <v/>
      </c>
    </row>
    <row r="327" customFormat="false" ht="15" hidden="false" customHeight="false" outlineLevel="0" collapsed="false">
      <c r="A327" s="23"/>
      <c r="B327" s="23"/>
      <c r="C327" s="10" t="str">
        <f aca="false">IF($B327="","",IFERROR(INDEX(Inventory!$B$2:$B$381,MATCH($B327,Inventory!$A$2:$A$381,0)),"unknown ID"))</f>
        <v/>
      </c>
      <c r="D327" s="11" t="str">
        <f aca="false">IF($B327="","",IFERROR(INDEX(Inventory!$E$2:$E$381,MATCH($B327,Inventory!$A$2:$A$381,0)),""))</f>
        <v/>
      </c>
      <c r="E327" s="24"/>
      <c r="F327" s="24"/>
      <c r="G327" s="23"/>
      <c r="H327" s="23"/>
      <c r="I327" s="23"/>
      <c r="J327" s="11" t="str">
        <f aca="false">IF($B327="","",IF($H327="","Out","Returned"))</f>
        <v/>
      </c>
    </row>
    <row r="328" customFormat="false" ht="15" hidden="false" customHeight="false" outlineLevel="0" collapsed="false">
      <c r="A328" s="23"/>
      <c r="B328" s="23"/>
      <c r="C328" s="10" t="str">
        <f aca="false">IF($B328="","",IFERROR(INDEX(Inventory!$B$2:$B$381,MATCH($B328,Inventory!$A$2:$A$381,0)),"unknown ID"))</f>
        <v/>
      </c>
      <c r="D328" s="11" t="str">
        <f aca="false">IF($B328="","",IFERROR(INDEX(Inventory!$E$2:$E$381,MATCH($B328,Inventory!$A$2:$A$381,0)),""))</f>
        <v/>
      </c>
      <c r="E328" s="24"/>
      <c r="F328" s="24"/>
      <c r="G328" s="23"/>
      <c r="H328" s="23"/>
      <c r="I328" s="23"/>
      <c r="J328" s="11" t="str">
        <f aca="false">IF($B328="","",IF($H328="","Out","Returned"))</f>
        <v/>
      </c>
    </row>
    <row r="329" customFormat="false" ht="15" hidden="false" customHeight="false" outlineLevel="0" collapsed="false">
      <c r="A329" s="23"/>
      <c r="B329" s="23"/>
      <c r="C329" s="10" t="str">
        <f aca="false">IF($B329="","",IFERROR(INDEX(Inventory!$B$2:$B$381,MATCH($B329,Inventory!$A$2:$A$381,0)),"unknown ID"))</f>
        <v/>
      </c>
      <c r="D329" s="11" t="str">
        <f aca="false">IF($B329="","",IFERROR(INDEX(Inventory!$E$2:$E$381,MATCH($B329,Inventory!$A$2:$A$381,0)),""))</f>
        <v/>
      </c>
      <c r="E329" s="24"/>
      <c r="F329" s="24"/>
      <c r="G329" s="23"/>
      <c r="H329" s="23"/>
      <c r="I329" s="23"/>
      <c r="J329" s="11" t="str">
        <f aca="false">IF($B329="","",IF($H329="","Out","Returned"))</f>
        <v/>
      </c>
    </row>
    <row r="330" customFormat="false" ht="15" hidden="false" customHeight="false" outlineLevel="0" collapsed="false">
      <c r="A330" s="23"/>
      <c r="B330" s="23"/>
      <c r="C330" s="10" t="str">
        <f aca="false">IF($B330="","",IFERROR(INDEX(Inventory!$B$2:$B$381,MATCH($B330,Inventory!$A$2:$A$381,0)),"unknown ID"))</f>
        <v/>
      </c>
      <c r="D330" s="11" t="str">
        <f aca="false">IF($B330="","",IFERROR(INDEX(Inventory!$E$2:$E$381,MATCH($B330,Inventory!$A$2:$A$381,0)),""))</f>
        <v/>
      </c>
      <c r="E330" s="24"/>
      <c r="F330" s="24"/>
      <c r="G330" s="23"/>
      <c r="H330" s="23"/>
      <c r="I330" s="23"/>
      <c r="J330" s="11" t="str">
        <f aca="false">IF($B330="","",IF($H330="","Out","Returned"))</f>
        <v/>
      </c>
    </row>
    <row r="331" customFormat="false" ht="15" hidden="false" customHeight="false" outlineLevel="0" collapsed="false">
      <c r="A331" s="23"/>
      <c r="B331" s="23"/>
      <c r="C331" s="10" t="str">
        <f aca="false">IF($B331="","",IFERROR(INDEX(Inventory!$B$2:$B$381,MATCH($B331,Inventory!$A$2:$A$381,0)),"unknown ID"))</f>
        <v/>
      </c>
      <c r="D331" s="11" t="str">
        <f aca="false">IF($B331="","",IFERROR(INDEX(Inventory!$E$2:$E$381,MATCH($B331,Inventory!$A$2:$A$381,0)),""))</f>
        <v/>
      </c>
      <c r="E331" s="24"/>
      <c r="F331" s="24"/>
      <c r="G331" s="23"/>
      <c r="H331" s="23"/>
      <c r="I331" s="23"/>
      <c r="J331" s="11" t="str">
        <f aca="false">IF($B331="","",IF($H331="","Out","Returned"))</f>
        <v/>
      </c>
    </row>
    <row r="332" customFormat="false" ht="15" hidden="false" customHeight="false" outlineLevel="0" collapsed="false">
      <c r="A332" s="23"/>
      <c r="B332" s="23"/>
      <c r="C332" s="10" t="str">
        <f aca="false">IF($B332="","",IFERROR(INDEX(Inventory!$B$2:$B$381,MATCH($B332,Inventory!$A$2:$A$381,0)),"unknown ID"))</f>
        <v/>
      </c>
      <c r="D332" s="11" t="str">
        <f aca="false">IF($B332="","",IFERROR(INDEX(Inventory!$E$2:$E$381,MATCH($B332,Inventory!$A$2:$A$381,0)),""))</f>
        <v/>
      </c>
      <c r="E332" s="24"/>
      <c r="F332" s="24"/>
      <c r="G332" s="23"/>
      <c r="H332" s="23"/>
      <c r="I332" s="23"/>
      <c r="J332" s="11" t="str">
        <f aca="false">IF($B332="","",IF($H332="","Out","Returned"))</f>
        <v/>
      </c>
    </row>
    <row r="333" customFormat="false" ht="15" hidden="false" customHeight="false" outlineLevel="0" collapsed="false">
      <c r="A333" s="23"/>
      <c r="B333" s="23"/>
      <c r="C333" s="10" t="str">
        <f aca="false">IF($B333="","",IFERROR(INDEX(Inventory!$B$2:$B$381,MATCH($B333,Inventory!$A$2:$A$381,0)),"unknown ID"))</f>
        <v/>
      </c>
      <c r="D333" s="11" t="str">
        <f aca="false">IF($B333="","",IFERROR(INDEX(Inventory!$E$2:$E$381,MATCH($B333,Inventory!$A$2:$A$381,0)),""))</f>
        <v/>
      </c>
      <c r="E333" s="24"/>
      <c r="F333" s="24"/>
      <c r="G333" s="23"/>
      <c r="H333" s="23"/>
      <c r="I333" s="23"/>
      <c r="J333" s="11" t="str">
        <f aca="false">IF($B333="","",IF($H333="","Out","Returned"))</f>
        <v/>
      </c>
    </row>
    <row r="334" customFormat="false" ht="15" hidden="false" customHeight="false" outlineLevel="0" collapsed="false">
      <c r="A334" s="23"/>
      <c r="B334" s="23"/>
      <c r="C334" s="10" t="str">
        <f aca="false">IF($B334="","",IFERROR(INDEX(Inventory!$B$2:$B$381,MATCH($B334,Inventory!$A$2:$A$381,0)),"unknown ID"))</f>
        <v/>
      </c>
      <c r="D334" s="11" t="str">
        <f aca="false">IF($B334="","",IFERROR(INDEX(Inventory!$E$2:$E$381,MATCH($B334,Inventory!$A$2:$A$381,0)),""))</f>
        <v/>
      </c>
      <c r="E334" s="24"/>
      <c r="F334" s="24"/>
      <c r="G334" s="23"/>
      <c r="H334" s="23"/>
      <c r="I334" s="23"/>
      <c r="J334" s="11" t="str">
        <f aca="false">IF($B334="","",IF($H334="","Out","Returned"))</f>
        <v/>
      </c>
    </row>
    <row r="335" customFormat="false" ht="15" hidden="false" customHeight="false" outlineLevel="0" collapsed="false">
      <c r="A335" s="23"/>
      <c r="B335" s="23"/>
      <c r="C335" s="10" t="str">
        <f aca="false">IF($B335="","",IFERROR(INDEX(Inventory!$B$2:$B$381,MATCH($B335,Inventory!$A$2:$A$381,0)),"unknown ID"))</f>
        <v/>
      </c>
      <c r="D335" s="11" t="str">
        <f aca="false">IF($B335="","",IFERROR(INDEX(Inventory!$E$2:$E$381,MATCH($B335,Inventory!$A$2:$A$381,0)),""))</f>
        <v/>
      </c>
      <c r="E335" s="24"/>
      <c r="F335" s="24"/>
      <c r="G335" s="23"/>
      <c r="H335" s="23"/>
      <c r="I335" s="23"/>
      <c r="J335" s="11" t="str">
        <f aca="false">IF($B335="","",IF($H335="","Out","Returned"))</f>
        <v/>
      </c>
    </row>
    <row r="336" customFormat="false" ht="15" hidden="false" customHeight="false" outlineLevel="0" collapsed="false">
      <c r="A336" s="23"/>
      <c r="B336" s="23"/>
      <c r="C336" s="10" t="str">
        <f aca="false">IF($B336="","",IFERROR(INDEX(Inventory!$B$2:$B$381,MATCH($B336,Inventory!$A$2:$A$381,0)),"unknown ID"))</f>
        <v/>
      </c>
      <c r="D336" s="11" t="str">
        <f aca="false">IF($B336="","",IFERROR(INDEX(Inventory!$E$2:$E$381,MATCH($B336,Inventory!$A$2:$A$381,0)),""))</f>
        <v/>
      </c>
      <c r="E336" s="24"/>
      <c r="F336" s="24"/>
      <c r="G336" s="23"/>
      <c r="H336" s="23"/>
      <c r="I336" s="23"/>
      <c r="J336" s="11" t="str">
        <f aca="false">IF($B336="","",IF($H336="","Out","Returned"))</f>
        <v/>
      </c>
    </row>
    <row r="337" customFormat="false" ht="15" hidden="false" customHeight="false" outlineLevel="0" collapsed="false">
      <c r="A337" s="23"/>
      <c r="B337" s="23"/>
      <c r="C337" s="10" t="str">
        <f aca="false">IF($B337="","",IFERROR(INDEX(Inventory!$B$2:$B$381,MATCH($B337,Inventory!$A$2:$A$381,0)),"unknown ID"))</f>
        <v/>
      </c>
      <c r="D337" s="11" t="str">
        <f aca="false">IF($B337="","",IFERROR(INDEX(Inventory!$E$2:$E$381,MATCH($B337,Inventory!$A$2:$A$381,0)),""))</f>
        <v/>
      </c>
      <c r="E337" s="24"/>
      <c r="F337" s="24"/>
      <c r="G337" s="23"/>
      <c r="H337" s="23"/>
      <c r="I337" s="23"/>
      <c r="J337" s="11" t="str">
        <f aca="false">IF($B337="","",IF($H337="","Out","Returned"))</f>
        <v/>
      </c>
    </row>
    <row r="338" customFormat="false" ht="15" hidden="false" customHeight="false" outlineLevel="0" collapsed="false">
      <c r="A338" s="23"/>
      <c r="B338" s="23"/>
      <c r="C338" s="10" t="str">
        <f aca="false">IF($B338="","",IFERROR(INDEX(Inventory!$B$2:$B$381,MATCH($B338,Inventory!$A$2:$A$381,0)),"unknown ID"))</f>
        <v/>
      </c>
      <c r="D338" s="11" t="str">
        <f aca="false">IF($B338="","",IFERROR(INDEX(Inventory!$E$2:$E$381,MATCH($B338,Inventory!$A$2:$A$381,0)),""))</f>
        <v/>
      </c>
      <c r="E338" s="24"/>
      <c r="F338" s="24"/>
      <c r="G338" s="23"/>
      <c r="H338" s="23"/>
      <c r="I338" s="23"/>
      <c r="J338" s="11" t="str">
        <f aca="false">IF($B338="","",IF($H338="","Out","Returned"))</f>
        <v/>
      </c>
    </row>
    <row r="339" customFormat="false" ht="15" hidden="false" customHeight="false" outlineLevel="0" collapsed="false">
      <c r="A339" s="23"/>
      <c r="B339" s="23"/>
      <c r="C339" s="10" t="str">
        <f aca="false">IF($B339="","",IFERROR(INDEX(Inventory!$B$2:$B$381,MATCH($B339,Inventory!$A$2:$A$381,0)),"unknown ID"))</f>
        <v/>
      </c>
      <c r="D339" s="11" t="str">
        <f aca="false">IF($B339="","",IFERROR(INDEX(Inventory!$E$2:$E$381,MATCH($B339,Inventory!$A$2:$A$381,0)),""))</f>
        <v/>
      </c>
      <c r="E339" s="24"/>
      <c r="F339" s="24"/>
      <c r="G339" s="23"/>
      <c r="H339" s="23"/>
      <c r="I339" s="23"/>
      <c r="J339" s="11" t="str">
        <f aca="false">IF($B339="","",IF($H339="","Out","Returned"))</f>
        <v/>
      </c>
    </row>
    <row r="340" customFormat="false" ht="15" hidden="false" customHeight="false" outlineLevel="0" collapsed="false">
      <c r="A340" s="23"/>
      <c r="B340" s="23"/>
      <c r="C340" s="10" t="str">
        <f aca="false">IF($B340="","",IFERROR(INDEX(Inventory!$B$2:$B$381,MATCH($B340,Inventory!$A$2:$A$381,0)),"unknown ID"))</f>
        <v/>
      </c>
      <c r="D340" s="11" t="str">
        <f aca="false">IF($B340="","",IFERROR(INDEX(Inventory!$E$2:$E$381,MATCH($B340,Inventory!$A$2:$A$381,0)),""))</f>
        <v/>
      </c>
      <c r="E340" s="24"/>
      <c r="F340" s="24"/>
      <c r="G340" s="23"/>
      <c r="H340" s="23"/>
      <c r="I340" s="23"/>
      <c r="J340" s="11" t="str">
        <f aca="false">IF($B340="","",IF($H340="","Out","Returned"))</f>
        <v/>
      </c>
    </row>
    <row r="341" customFormat="false" ht="15" hidden="false" customHeight="false" outlineLevel="0" collapsed="false">
      <c r="A341" s="23"/>
      <c r="B341" s="23"/>
      <c r="C341" s="10" t="str">
        <f aca="false">IF($B341="","",IFERROR(INDEX(Inventory!$B$2:$B$381,MATCH($B341,Inventory!$A$2:$A$381,0)),"unknown ID"))</f>
        <v/>
      </c>
      <c r="D341" s="11" t="str">
        <f aca="false">IF($B341="","",IFERROR(INDEX(Inventory!$E$2:$E$381,MATCH($B341,Inventory!$A$2:$A$381,0)),""))</f>
        <v/>
      </c>
      <c r="E341" s="24"/>
      <c r="F341" s="24"/>
      <c r="G341" s="23"/>
      <c r="H341" s="23"/>
      <c r="I341" s="23"/>
      <c r="J341" s="11" t="str">
        <f aca="false">IF($B341="","",IF($H341="","Out","Returned"))</f>
        <v/>
      </c>
    </row>
    <row r="342" customFormat="false" ht="15" hidden="false" customHeight="false" outlineLevel="0" collapsed="false">
      <c r="A342" s="23"/>
      <c r="B342" s="23"/>
      <c r="C342" s="10" t="str">
        <f aca="false">IF($B342="","",IFERROR(INDEX(Inventory!$B$2:$B$381,MATCH($B342,Inventory!$A$2:$A$381,0)),"unknown ID"))</f>
        <v/>
      </c>
      <c r="D342" s="11" t="str">
        <f aca="false">IF($B342="","",IFERROR(INDEX(Inventory!$E$2:$E$381,MATCH($B342,Inventory!$A$2:$A$381,0)),""))</f>
        <v/>
      </c>
      <c r="E342" s="24"/>
      <c r="F342" s="24"/>
      <c r="G342" s="23"/>
      <c r="H342" s="23"/>
      <c r="I342" s="23"/>
      <c r="J342" s="11" t="str">
        <f aca="false">IF($B342="","",IF($H342="","Out","Returned"))</f>
        <v/>
      </c>
    </row>
    <row r="343" customFormat="false" ht="15" hidden="false" customHeight="false" outlineLevel="0" collapsed="false">
      <c r="A343" s="23"/>
      <c r="B343" s="23"/>
      <c r="C343" s="10" t="str">
        <f aca="false">IF($B343="","",IFERROR(INDEX(Inventory!$B$2:$B$381,MATCH($B343,Inventory!$A$2:$A$381,0)),"unknown ID"))</f>
        <v/>
      </c>
      <c r="D343" s="11" t="str">
        <f aca="false">IF($B343="","",IFERROR(INDEX(Inventory!$E$2:$E$381,MATCH($B343,Inventory!$A$2:$A$381,0)),""))</f>
        <v/>
      </c>
      <c r="E343" s="24"/>
      <c r="F343" s="24"/>
      <c r="G343" s="23"/>
      <c r="H343" s="23"/>
      <c r="I343" s="23"/>
      <c r="J343" s="11" t="str">
        <f aca="false">IF($B343="","",IF($H343="","Out","Returned"))</f>
        <v/>
      </c>
    </row>
    <row r="344" customFormat="false" ht="15" hidden="false" customHeight="false" outlineLevel="0" collapsed="false">
      <c r="A344" s="23"/>
      <c r="B344" s="23"/>
      <c r="C344" s="10" t="str">
        <f aca="false">IF($B344="","",IFERROR(INDEX(Inventory!$B$2:$B$381,MATCH($B344,Inventory!$A$2:$A$381,0)),"unknown ID"))</f>
        <v/>
      </c>
      <c r="D344" s="11" t="str">
        <f aca="false">IF($B344="","",IFERROR(INDEX(Inventory!$E$2:$E$381,MATCH($B344,Inventory!$A$2:$A$381,0)),""))</f>
        <v/>
      </c>
      <c r="E344" s="24"/>
      <c r="F344" s="24"/>
      <c r="G344" s="23"/>
      <c r="H344" s="23"/>
      <c r="I344" s="23"/>
      <c r="J344" s="11" t="str">
        <f aca="false">IF($B344="","",IF($H344="","Out","Returned"))</f>
        <v/>
      </c>
    </row>
    <row r="345" customFormat="false" ht="15" hidden="false" customHeight="false" outlineLevel="0" collapsed="false">
      <c r="A345" s="23"/>
      <c r="B345" s="23"/>
      <c r="C345" s="10" t="str">
        <f aca="false">IF($B345="","",IFERROR(INDEX(Inventory!$B$2:$B$381,MATCH($B345,Inventory!$A$2:$A$381,0)),"unknown ID"))</f>
        <v/>
      </c>
      <c r="D345" s="11" t="str">
        <f aca="false">IF($B345="","",IFERROR(INDEX(Inventory!$E$2:$E$381,MATCH($B345,Inventory!$A$2:$A$381,0)),""))</f>
        <v/>
      </c>
      <c r="E345" s="24"/>
      <c r="F345" s="24"/>
      <c r="G345" s="23"/>
      <c r="H345" s="23"/>
      <c r="I345" s="23"/>
      <c r="J345" s="11" t="str">
        <f aca="false">IF($B345="","",IF($H345="","Out","Returned"))</f>
        <v/>
      </c>
    </row>
    <row r="346" customFormat="false" ht="15" hidden="false" customHeight="false" outlineLevel="0" collapsed="false">
      <c r="A346" s="23"/>
      <c r="B346" s="23"/>
      <c r="C346" s="10" t="str">
        <f aca="false">IF($B346="","",IFERROR(INDEX(Inventory!$B$2:$B$381,MATCH($B346,Inventory!$A$2:$A$381,0)),"unknown ID"))</f>
        <v/>
      </c>
      <c r="D346" s="11" t="str">
        <f aca="false">IF($B346="","",IFERROR(INDEX(Inventory!$E$2:$E$381,MATCH($B346,Inventory!$A$2:$A$381,0)),""))</f>
        <v/>
      </c>
      <c r="E346" s="24"/>
      <c r="F346" s="24"/>
      <c r="G346" s="23"/>
      <c r="H346" s="23"/>
      <c r="I346" s="23"/>
      <c r="J346" s="11" t="str">
        <f aca="false">IF($B346="","",IF($H346="","Out","Returned"))</f>
        <v/>
      </c>
    </row>
    <row r="347" customFormat="false" ht="15" hidden="false" customHeight="false" outlineLevel="0" collapsed="false">
      <c r="A347" s="23"/>
      <c r="B347" s="23"/>
      <c r="C347" s="10" t="str">
        <f aca="false">IF($B347="","",IFERROR(INDEX(Inventory!$B$2:$B$381,MATCH($B347,Inventory!$A$2:$A$381,0)),"unknown ID"))</f>
        <v/>
      </c>
      <c r="D347" s="11" t="str">
        <f aca="false">IF($B347="","",IFERROR(INDEX(Inventory!$E$2:$E$381,MATCH($B347,Inventory!$A$2:$A$381,0)),""))</f>
        <v/>
      </c>
      <c r="E347" s="24"/>
      <c r="F347" s="24"/>
      <c r="G347" s="23"/>
      <c r="H347" s="23"/>
      <c r="I347" s="23"/>
      <c r="J347" s="11" t="str">
        <f aca="false">IF($B347="","",IF($H347="","Out","Returned"))</f>
        <v/>
      </c>
    </row>
    <row r="348" customFormat="false" ht="15" hidden="false" customHeight="false" outlineLevel="0" collapsed="false">
      <c r="A348" s="23"/>
      <c r="B348" s="23"/>
      <c r="C348" s="10" t="str">
        <f aca="false">IF($B348="","",IFERROR(INDEX(Inventory!$B$2:$B$381,MATCH($B348,Inventory!$A$2:$A$381,0)),"unknown ID"))</f>
        <v/>
      </c>
      <c r="D348" s="11" t="str">
        <f aca="false">IF($B348="","",IFERROR(INDEX(Inventory!$E$2:$E$381,MATCH($B348,Inventory!$A$2:$A$381,0)),""))</f>
        <v/>
      </c>
      <c r="E348" s="24"/>
      <c r="F348" s="24"/>
      <c r="G348" s="23"/>
      <c r="H348" s="23"/>
      <c r="I348" s="23"/>
      <c r="J348" s="11" t="str">
        <f aca="false">IF($B348="","",IF($H348="","Out","Returned"))</f>
        <v/>
      </c>
    </row>
    <row r="349" customFormat="false" ht="15" hidden="false" customHeight="false" outlineLevel="0" collapsed="false">
      <c r="A349" s="23"/>
      <c r="B349" s="23"/>
      <c r="C349" s="10" t="str">
        <f aca="false">IF($B349="","",IFERROR(INDEX(Inventory!$B$2:$B$381,MATCH($B349,Inventory!$A$2:$A$381,0)),"unknown ID"))</f>
        <v/>
      </c>
      <c r="D349" s="11" t="str">
        <f aca="false">IF($B349="","",IFERROR(INDEX(Inventory!$E$2:$E$381,MATCH($B349,Inventory!$A$2:$A$381,0)),""))</f>
        <v/>
      </c>
      <c r="E349" s="24"/>
      <c r="F349" s="24"/>
      <c r="G349" s="23"/>
      <c r="H349" s="23"/>
      <c r="I349" s="23"/>
      <c r="J349" s="11" t="str">
        <f aca="false">IF($B349="","",IF($H349="","Out","Returned"))</f>
        <v/>
      </c>
    </row>
    <row r="350" customFormat="false" ht="15" hidden="false" customHeight="false" outlineLevel="0" collapsed="false">
      <c r="A350" s="23"/>
      <c r="B350" s="23"/>
      <c r="C350" s="10" t="str">
        <f aca="false">IF($B350="","",IFERROR(INDEX(Inventory!$B$2:$B$381,MATCH($B350,Inventory!$A$2:$A$381,0)),"unknown ID"))</f>
        <v/>
      </c>
      <c r="D350" s="11" t="str">
        <f aca="false">IF($B350="","",IFERROR(INDEX(Inventory!$E$2:$E$381,MATCH($B350,Inventory!$A$2:$A$381,0)),""))</f>
        <v/>
      </c>
      <c r="E350" s="24"/>
      <c r="F350" s="24"/>
      <c r="G350" s="23"/>
      <c r="H350" s="23"/>
      <c r="I350" s="23"/>
      <c r="J350" s="11" t="str">
        <f aca="false">IF($B350="","",IF($H350="","Out","Returned"))</f>
        <v/>
      </c>
    </row>
    <row r="351" customFormat="false" ht="15" hidden="false" customHeight="false" outlineLevel="0" collapsed="false">
      <c r="A351" s="23"/>
      <c r="B351" s="23"/>
      <c r="C351" s="10" t="str">
        <f aca="false">IF($B351="","",IFERROR(INDEX(Inventory!$B$2:$B$381,MATCH($B351,Inventory!$A$2:$A$381,0)),"unknown ID"))</f>
        <v/>
      </c>
      <c r="D351" s="11" t="str">
        <f aca="false">IF($B351="","",IFERROR(INDEX(Inventory!$E$2:$E$381,MATCH($B351,Inventory!$A$2:$A$381,0)),""))</f>
        <v/>
      </c>
      <c r="E351" s="24"/>
      <c r="F351" s="24"/>
      <c r="G351" s="23"/>
      <c r="H351" s="23"/>
      <c r="I351" s="23"/>
      <c r="J351" s="11" t="str">
        <f aca="false">IF($B351="","",IF($H351="","Out","Returned"))</f>
        <v/>
      </c>
    </row>
    <row r="352" customFormat="false" ht="15" hidden="false" customHeight="false" outlineLevel="0" collapsed="false">
      <c r="A352" s="23"/>
      <c r="B352" s="23"/>
      <c r="C352" s="10" t="str">
        <f aca="false">IF($B352="","",IFERROR(INDEX(Inventory!$B$2:$B$381,MATCH($B352,Inventory!$A$2:$A$381,0)),"unknown ID"))</f>
        <v/>
      </c>
      <c r="D352" s="11" t="str">
        <f aca="false">IF($B352="","",IFERROR(INDEX(Inventory!$E$2:$E$381,MATCH($B352,Inventory!$A$2:$A$381,0)),""))</f>
        <v/>
      </c>
      <c r="E352" s="24"/>
      <c r="F352" s="24"/>
      <c r="G352" s="23"/>
      <c r="H352" s="23"/>
      <c r="I352" s="23"/>
      <c r="J352" s="11" t="str">
        <f aca="false">IF($B352="","",IF($H352="","Out","Returned"))</f>
        <v/>
      </c>
    </row>
    <row r="353" customFormat="false" ht="15" hidden="false" customHeight="false" outlineLevel="0" collapsed="false">
      <c r="A353" s="23"/>
      <c r="B353" s="23"/>
      <c r="C353" s="10" t="str">
        <f aca="false">IF($B353="","",IFERROR(INDEX(Inventory!$B$2:$B$381,MATCH($B353,Inventory!$A$2:$A$381,0)),"unknown ID"))</f>
        <v/>
      </c>
      <c r="D353" s="11" t="str">
        <f aca="false">IF($B353="","",IFERROR(INDEX(Inventory!$E$2:$E$381,MATCH($B353,Inventory!$A$2:$A$381,0)),""))</f>
        <v/>
      </c>
      <c r="E353" s="24"/>
      <c r="F353" s="24"/>
      <c r="G353" s="23"/>
      <c r="H353" s="23"/>
      <c r="I353" s="23"/>
      <c r="J353" s="11" t="str">
        <f aca="false">IF($B353="","",IF($H353="","Out","Returned"))</f>
        <v/>
      </c>
    </row>
    <row r="354" customFormat="false" ht="15" hidden="false" customHeight="false" outlineLevel="0" collapsed="false">
      <c r="A354" s="23"/>
      <c r="B354" s="23"/>
      <c r="C354" s="10" t="str">
        <f aca="false">IF($B354="","",IFERROR(INDEX(Inventory!$B$2:$B$381,MATCH($B354,Inventory!$A$2:$A$381,0)),"unknown ID"))</f>
        <v/>
      </c>
      <c r="D354" s="11" t="str">
        <f aca="false">IF($B354="","",IFERROR(INDEX(Inventory!$E$2:$E$381,MATCH($B354,Inventory!$A$2:$A$381,0)),""))</f>
        <v/>
      </c>
      <c r="E354" s="24"/>
      <c r="F354" s="24"/>
      <c r="G354" s="23"/>
      <c r="H354" s="23"/>
      <c r="I354" s="23"/>
      <c r="J354" s="11" t="str">
        <f aca="false">IF($B354="","",IF($H354="","Out","Returned"))</f>
        <v/>
      </c>
    </row>
    <row r="355" customFormat="false" ht="15" hidden="false" customHeight="false" outlineLevel="0" collapsed="false">
      <c r="A355" s="23"/>
      <c r="B355" s="23"/>
      <c r="C355" s="10" t="str">
        <f aca="false">IF($B355="","",IFERROR(INDEX(Inventory!$B$2:$B$381,MATCH($B355,Inventory!$A$2:$A$381,0)),"unknown ID"))</f>
        <v/>
      </c>
      <c r="D355" s="11" t="str">
        <f aca="false">IF($B355="","",IFERROR(INDEX(Inventory!$E$2:$E$381,MATCH($B355,Inventory!$A$2:$A$381,0)),""))</f>
        <v/>
      </c>
      <c r="E355" s="24"/>
      <c r="F355" s="24"/>
      <c r="G355" s="23"/>
      <c r="H355" s="23"/>
      <c r="I355" s="23"/>
      <c r="J355" s="11" t="str">
        <f aca="false">IF($B355="","",IF($H355="","Out","Returned"))</f>
        <v/>
      </c>
    </row>
    <row r="356" customFormat="false" ht="15" hidden="false" customHeight="false" outlineLevel="0" collapsed="false">
      <c r="A356" s="23"/>
      <c r="B356" s="23"/>
      <c r="C356" s="10" t="str">
        <f aca="false">IF($B356="","",IFERROR(INDEX(Inventory!$B$2:$B$381,MATCH($B356,Inventory!$A$2:$A$381,0)),"unknown ID"))</f>
        <v/>
      </c>
      <c r="D356" s="11" t="str">
        <f aca="false">IF($B356="","",IFERROR(INDEX(Inventory!$E$2:$E$381,MATCH($B356,Inventory!$A$2:$A$381,0)),""))</f>
        <v/>
      </c>
      <c r="E356" s="24"/>
      <c r="F356" s="24"/>
      <c r="G356" s="23"/>
      <c r="H356" s="23"/>
      <c r="I356" s="23"/>
      <c r="J356" s="11" t="str">
        <f aca="false">IF($B356="","",IF($H356="","Out","Returned"))</f>
        <v/>
      </c>
    </row>
    <row r="357" customFormat="false" ht="15" hidden="false" customHeight="false" outlineLevel="0" collapsed="false">
      <c r="A357" s="23"/>
      <c r="B357" s="23"/>
      <c r="C357" s="10" t="str">
        <f aca="false">IF($B357="","",IFERROR(INDEX(Inventory!$B$2:$B$381,MATCH($B357,Inventory!$A$2:$A$381,0)),"unknown ID"))</f>
        <v/>
      </c>
      <c r="D357" s="11" t="str">
        <f aca="false">IF($B357="","",IFERROR(INDEX(Inventory!$E$2:$E$381,MATCH($B357,Inventory!$A$2:$A$381,0)),""))</f>
        <v/>
      </c>
      <c r="E357" s="24"/>
      <c r="F357" s="24"/>
      <c r="G357" s="23"/>
      <c r="H357" s="23"/>
      <c r="I357" s="23"/>
      <c r="J357" s="11" t="str">
        <f aca="false">IF($B357="","",IF($H357="","Out","Returned"))</f>
        <v/>
      </c>
    </row>
    <row r="358" customFormat="false" ht="15" hidden="false" customHeight="false" outlineLevel="0" collapsed="false">
      <c r="A358" s="23"/>
      <c r="B358" s="23"/>
      <c r="C358" s="10" t="str">
        <f aca="false">IF($B358="","",IFERROR(INDEX(Inventory!$B$2:$B$381,MATCH($B358,Inventory!$A$2:$A$381,0)),"unknown ID"))</f>
        <v/>
      </c>
      <c r="D358" s="11" t="str">
        <f aca="false">IF($B358="","",IFERROR(INDEX(Inventory!$E$2:$E$381,MATCH($B358,Inventory!$A$2:$A$381,0)),""))</f>
        <v/>
      </c>
      <c r="E358" s="24"/>
      <c r="F358" s="24"/>
      <c r="G358" s="23"/>
      <c r="H358" s="23"/>
      <c r="I358" s="23"/>
      <c r="J358" s="11" t="str">
        <f aca="false">IF($B358="","",IF($H358="","Out","Returned"))</f>
        <v/>
      </c>
    </row>
    <row r="359" customFormat="false" ht="15" hidden="false" customHeight="false" outlineLevel="0" collapsed="false">
      <c r="A359" s="23"/>
      <c r="B359" s="23"/>
      <c r="C359" s="10" t="str">
        <f aca="false">IF($B359="","",IFERROR(INDEX(Inventory!$B$2:$B$381,MATCH($B359,Inventory!$A$2:$A$381,0)),"unknown ID"))</f>
        <v/>
      </c>
      <c r="D359" s="11" t="str">
        <f aca="false">IF($B359="","",IFERROR(INDEX(Inventory!$E$2:$E$381,MATCH($B359,Inventory!$A$2:$A$381,0)),""))</f>
        <v/>
      </c>
      <c r="E359" s="24"/>
      <c r="F359" s="24"/>
      <c r="G359" s="23"/>
      <c r="H359" s="23"/>
      <c r="I359" s="23"/>
      <c r="J359" s="11" t="str">
        <f aca="false">IF($B359="","",IF($H359="","Out","Returned"))</f>
        <v/>
      </c>
    </row>
    <row r="360" customFormat="false" ht="15" hidden="false" customHeight="false" outlineLevel="0" collapsed="false">
      <c r="A360" s="23"/>
      <c r="B360" s="23"/>
      <c r="C360" s="10" t="str">
        <f aca="false">IF($B360="","",IFERROR(INDEX(Inventory!$B$2:$B$381,MATCH($B360,Inventory!$A$2:$A$381,0)),"unknown ID"))</f>
        <v/>
      </c>
      <c r="D360" s="11" t="str">
        <f aca="false">IF($B360="","",IFERROR(INDEX(Inventory!$E$2:$E$381,MATCH($B360,Inventory!$A$2:$A$381,0)),""))</f>
        <v/>
      </c>
      <c r="E360" s="24"/>
      <c r="F360" s="24"/>
      <c r="G360" s="23"/>
      <c r="H360" s="23"/>
      <c r="I360" s="23"/>
      <c r="J360" s="11" t="str">
        <f aca="false">IF($B360="","",IF($H360="","Out","Returned"))</f>
        <v/>
      </c>
    </row>
    <row r="361" customFormat="false" ht="15" hidden="false" customHeight="false" outlineLevel="0" collapsed="false">
      <c r="A361" s="23"/>
      <c r="B361" s="23"/>
      <c r="C361" s="10" t="str">
        <f aca="false">IF($B361="","",IFERROR(INDEX(Inventory!$B$2:$B$381,MATCH($B361,Inventory!$A$2:$A$381,0)),"unknown ID"))</f>
        <v/>
      </c>
      <c r="D361" s="11" t="str">
        <f aca="false">IF($B361="","",IFERROR(INDEX(Inventory!$E$2:$E$381,MATCH($B361,Inventory!$A$2:$A$381,0)),""))</f>
        <v/>
      </c>
      <c r="E361" s="24"/>
      <c r="F361" s="24"/>
      <c r="G361" s="23"/>
      <c r="H361" s="23"/>
      <c r="I361" s="23"/>
      <c r="J361" s="11" t="str">
        <f aca="false">IF($B361="","",IF($H361="","Out","Returned"))</f>
        <v/>
      </c>
    </row>
    <row r="362" customFormat="false" ht="15" hidden="false" customHeight="false" outlineLevel="0" collapsed="false">
      <c r="A362" s="23"/>
      <c r="B362" s="23"/>
      <c r="C362" s="10" t="str">
        <f aca="false">IF($B362="","",IFERROR(INDEX(Inventory!$B$2:$B$381,MATCH($B362,Inventory!$A$2:$A$381,0)),"unknown ID"))</f>
        <v/>
      </c>
      <c r="D362" s="11" t="str">
        <f aca="false">IF($B362="","",IFERROR(INDEX(Inventory!$E$2:$E$381,MATCH($B362,Inventory!$A$2:$A$381,0)),""))</f>
        <v/>
      </c>
      <c r="E362" s="24"/>
      <c r="F362" s="24"/>
      <c r="G362" s="23"/>
      <c r="H362" s="23"/>
      <c r="I362" s="23"/>
      <c r="J362" s="11" t="str">
        <f aca="false">IF($B362="","",IF($H362="","Out","Returned"))</f>
        <v/>
      </c>
    </row>
    <row r="363" customFormat="false" ht="15" hidden="false" customHeight="false" outlineLevel="0" collapsed="false">
      <c r="A363" s="23"/>
      <c r="B363" s="23"/>
      <c r="C363" s="10" t="str">
        <f aca="false">IF($B363="","",IFERROR(INDEX(Inventory!$B$2:$B$381,MATCH($B363,Inventory!$A$2:$A$381,0)),"unknown ID"))</f>
        <v/>
      </c>
      <c r="D363" s="11" t="str">
        <f aca="false">IF($B363="","",IFERROR(INDEX(Inventory!$E$2:$E$381,MATCH($B363,Inventory!$A$2:$A$381,0)),""))</f>
        <v/>
      </c>
      <c r="E363" s="24"/>
      <c r="F363" s="24"/>
      <c r="G363" s="23"/>
      <c r="H363" s="23"/>
      <c r="I363" s="23"/>
      <c r="J363" s="11" t="str">
        <f aca="false">IF($B363="","",IF($H363="","Out","Returned"))</f>
        <v/>
      </c>
    </row>
    <row r="364" customFormat="false" ht="15" hidden="false" customHeight="false" outlineLevel="0" collapsed="false">
      <c r="A364" s="23"/>
      <c r="B364" s="23"/>
      <c r="C364" s="10" t="str">
        <f aca="false">IF($B364="","",IFERROR(INDEX(Inventory!$B$2:$B$381,MATCH($B364,Inventory!$A$2:$A$381,0)),"unknown ID"))</f>
        <v/>
      </c>
      <c r="D364" s="11" t="str">
        <f aca="false">IF($B364="","",IFERROR(INDEX(Inventory!$E$2:$E$381,MATCH($B364,Inventory!$A$2:$A$381,0)),""))</f>
        <v/>
      </c>
      <c r="E364" s="24"/>
      <c r="F364" s="24"/>
      <c r="G364" s="23"/>
      <c r="H364" s="23"/>
      <c r="I364" s="23"/>
      <c r="J364" s="11" t="str">
        <f aca="false">IF($B364="","",IF($H364="","Out","Returned"))</f>
        <v/>
      </c>
    </row>
    <row r="365" customFormat="false" ht="15" hidden="false" customHeight="false" outlineLevel="0" collapsed="false">
      <c r="A365" s="23"/>
      <c r="B365" s="23"/>
      <c r="C365" s="10" t="str">
        <f aca="false">IF($B365="","",IFERROR(INDEX(Inventory!$B$2:$B$381,MATCH($B365,Inventory!$A$2:$A$381,0)),"unknown ID"))</f>
        <v/>
      </c>
      <c r="D365" s="11" t="str">
        <f aca="false">IF($B365="","",IFERROR(INDEX(Inventory!$E$2:$E$381,MATCH($B365,Inventory!$A$2:$A$381,0)),""))</f>
        <v/>
      </c>
      <c r="E365" s="24"/>
      <c r="F365" s="24"/>
      <c r="G365" s="23"/>
      <c r="H365" s="23"/>
      <c r="I365" s="23"/>
      <c r="J365" s="11" t="str">
        <f aca="false">IF($B365="","",IF($H365="","Out","Returned"))</f>
        <v/>
      </c>
    </row>
    <row r="366" customFormat="false" ht="15" hidden="false" customHeight="false" outlineLevel="0" collapsed="false">
      <c r="A366" s="23"/>
      <c r="B366" s="23"/>
      <c r="C366" s="10" t="str">
        <f aca="false">IF($B366="","",IFERROR(INDEX(Inventory!$B$2:$B$381,MATCH($B366,Inventory!$A$2:$A$381,0)),"unknown ID"))</f>
        <v/>
      </c>
      <c r="D366" s="11" t="str">
        <f aca="false">IF($B366="","",IFERROR(INDEX(Inventory!$E$2:$E$381,MATCH($B366,Inventory!$A$2:$A$381,0)),""))</f>
        <v/>
      </c>
      <c r="E366" s="24"/>
      <c r="F366" s="24"/>
      <c r="G366" s="23"/>
      <c r="H366" s="23"/>
      <c r="I366" s="23"/>
      <c r="J366" s="11" t="str">
        <f aca="false">IF($B366="","",IF($H366="","Out","Returned"))</f>
        <v/>
      </c>
    </row>
    <row r="367" customFormat="false" ht="15" hidden="false" customHeight="false" outlineLevel="0" collapsed="false">
      <c r="A367" s="23"/>
      <c r="B367" s="23"/>
      <c r="C367" s="10" t="str">
        <f aca="false">IF($B367="","",IFERROR(INDEX(Inventory!$B$2:$B$381,MATCH($B367,Inventory!$A$2:$A$381,0)),"unknown ID"))</f>
        <v/>
      </c>
      <c r="D367" s="11" t="str">
        <f aca="false">IF($B367="","",IFERROR(INDEX(Inventory!$E$2:$E$381,MATCH($B367,Inventory!$A$2:$A$381,0)),""))</f>
        <v/>
      </c>
      <c r="E367" s="24"/>
      <c r="F367" s="24"/>
      <c r="G367" s="23"/>
      <c r="H367" s="23"/>
      <c r="I367" s="23"/>
      <c r="J367" s="11" t="str">
        <f aca="false">IF($B367="","",IF($H367="","Out","Returned"))</f>
        <v/>
      </c>
    </row>
    <row r="368" customFormat="false" ht="15" hidden="false" customHeight="false" outlineLevel="0" collapsed="false">
      <c r="A368" s="23"/>
      <c r="B368" s="23"/>
      <c r="C368" s="10" t="str">
        <f aca="false">IF($B368="","",IFERROR(INDEX(Inventory!$B$2:$B$381,MATCH($B368,Inventory!$A$2:$A$381,0)),"unknown ID"))</f>
        <v/>
      </c>
      <c r="D368" s="11" t="str">
        <f aca="false">IF($B368="","",IFERROR(INDEX(Inventory!$E$2:$E$381,MATCH($B368,Inventory!$A$2:$A$381,0)),""))</f>
        <v/>
      </c>
      <c r="E368" s="24"/>
      <c r="F368" s="24"/>
      <c r="G368" s="23"/>
      <c r="H368" s="23"/>
      <c r="I368" s="23"/>
      <c r="J368" s="11" t="str">
        <f aca="false">IF($B368="","",IF($H368="","Out","Returned"))</f>
        <v/>
      </c>
    </row>
    <row r="369" customFormat="false" ht="15" hidden="false" customHeight="false" outlineLevel="0" collapsed="false">
      <c r="A369" s="23"/>
      <c r="B369" s="23"/>
      <c r="C369" s="10" t="str">
        <f aca="false">IF($B369="","",IFERROR(INDEX(Inventory!$B$2:$B$381,MATCH($B369,Inventory!$A$2:$A$381,0)),"unknown ID"))</f>
        <v/>
      </c>
      <c r="D369" s="11" t="str">
        <f aca="false">IF($B369="","",IFERROR(INDEX(Inventory!$E$2:$E$381,MATCH($B369,Inventory!$A$2:$A$381,0)),""))</f>
        <v/>
      </c>
      <c r="E369" s="24"/>
      <c r="F369" s="24"/>
      <c r="G369" s="23"/>
      <c r="H369" s="23"/>
      <c r="I369" s="23"/>
      <c r="J369" s="11" t="str">
        <f aca="false">IF($B369="","",IF($H369="","Out","Returned"))</f>
        <v/>
      </c>
    </row>
    <row r="370" customFormat="false" ht="15" hidden="false" customHeight="false" outlineLevel="0" collapsed="false">
      <c r="A370" s="23"/>
      <c r="B370" s="23"/>
      <c r="C370" s="10" t="str">
        <f aca="false">IF($B370="","",IFERROR(INDEX(Inventory!$B$2:$B$381,MATCH($B370,Inventory!$A$2:$A$381,0)),"unknown ID"))</f>
        <v/>
      </c>
      <c r="D370" s="11" t="str">
        <f aca="false">IF($B370="","",IFERROR(INDEX(Inventory!$E$2:$E$381,MATCH($B370,Inventory!$A$2:$A$381,0)),""))</f>
        <v/>
      </c>
      <c r="E370" s="24"/>
      <c r="F370" s="24"/>
      <c r="G370" s="23"/>
      <c r="H370" s="23"/>
      <c r="I370" s="23"/>
      <c r="J370" s="11" t="str">
        <f aca="false">IF($B370="","",IF($H370="","Out","Returned"))</f>
        <v/>
      </c>
    </row>
    <row r="371" customFormat="false" ht="15" hidden="false" customHeight="false" outlineLevel="0" collapsed="false">
      <c r="A371" s="23"/>
      <c r="B371" s="23"/>
      <c r="C371" s="10" t="str">
        <f aca="false">IF($B371="","",IFERROR(INDEX(Inventory!$B$2:$B$381,MATCH($B371,Inventory!$A$2:$A$381,0)),"unknown ID"))</f>
        <v/>
      </c>
      <c r="D371" s="11" t="str">
        <f aca="false">IF($B371="","",IFERROR(INDEX(Inventory!$E$2:$E$381,MATCH($B371,Inventory!$A$2:$A$381,0)),""))</f>
        <v/>
      </c>
      <c r="E371" s="24"/>
      <c r="F371" s="24"/>
      <c r="G371" s="23"/>
      <c r="H371" s="23"/>
      <c r="I371" s="23"/>
      <c r="J371" s="11" t="str">
        <f aca="false">IF($B371="","",IF($H371="","Out","Returned"))</f>
        <v/>
      </c>
    </row>
    <row r="372" customFormat="false" ht="15" hidden="false" customHeight="false" outlineLevel="0" collapsed="false">
      <c r="A372" s="23"/>
      <c r="B372" s="23"/>
      <c r="C372" s="10" t="str">
        <f aca="false">IF($B372="","",IFERROR(INDEX(Inventory!$B$2:$B$381,MATCH($B372,Inventory!$A$2:$A$381,0)),"unknown ID"))</f>
        <v/>
      </c>
      <c r="D372" s="11" t="str">
        <f aca="false">IF($B372="","",IFERROR(INDEX(Inventory!$E$2:$E$381,MATCH($B372,Inventory!$A$2:$A$381,0)),""))</f>
        <v/>
      </c>
      <c r="E372" s="24"/>
      <c r="F372" s="24"/>
      <c r="G372" s="23"/>
      <c r="H372" s="23"/>
      <c r="I372" s="23"/>
      <c r="J372" s="11" t="str">
        <f aca="false">IF($B372="","",IF($H372="","Out","Returned"))</f>
        <v/>
      </c>
    </row>
    <row r="373" customFormat="false" ht="15" hidden="false" customHeight="false" outlineLevel="0" collapsed="false">
      <c r="A373" s="23"/>
      <c r="B373" s="23"/>
      <c r="C373" s="10" t="str">
        <f aca="false">IF($B373="","",IFERROR(INDEX(Inventory!$B$2:$B$381,MATCH($B373,Inventory!$A$2:$A$381,0)),"unknown ID"))</f>
        <v/>
      </c>
      <c r="D373" s="11" t="str">
        <f aca="false">IF($B373="","",IFERROR(INDEX(Inventory!$E$2:$E$381,MATCH($B373,Inventory!$A$2:$A$381,0)),""))</f>
        <v/>
      </c>
      <c r="E373" s="24"/>
      <c r="F373" s="24"/>
      <c r="G373" s="23"/>
      <c r="H373" s="23"/>
      <c r="I373" s="23"/>
      <c r="J373" s="11" t="str">
        <f aca="false">IF($B373="","",IF($H373="","Out","Returned"))</f>
        <v/>
      </c>
    </row>
    <row r="374" customFormat="false" ht="15" hidden="false" customHeight="false" outlineLevel="0" collapsed="false">
      <c r="A374" s="23"/>
      <c r="B374" s="23"/>
      <c r="C374" s="10" t="str">
        <f aca="false">IF($B374="","",IFERROR(INDEX(Inventory!$B$2:$B$381,MATCH($B374,Inventory!$A$2:$A$381,0)),"unknown ID"))</f>
        <v/>
      </c>
      <c r="D374" s="11" t="str">
        <f aca="false">IF($B374="","",IFERROR(INDEX(Inventory!$E$2:$E$381,MATCH($B374,Inventory!$A$2:$A$381,0)),""))</f>
        <v/>
      </c>
      <c r="E374" s="24"/>
      <c r="F374" s="24"/>
      <c r="G374" s="23"/>
      <c r="H374" s="23"/>
      <c r="I374" s="23"/>
      <c r="J374" s="11" t="str">
        <f aca="false">IF($B374="","",IF($H374="","Out","Returned"))</f>
        <v/>
      </c>
    </row>
    <row r="375" customFormat="false" ht="15" hidden="false" customHeight="false" outlineLevel="0" collapsed="false">
      <c r="A375" s="23"/>
      <c r="B375" s="23"/>
      <c r="C375" s="10" t="str">
        <f aca="false">IF($B375="","",IFERROR(INDEX(Inventory!$B$2:$B$381,MATCH($B375,Inventory!$A$2:$A$381,0)),"unknown ID"))</f>
        <v/>
      </c>
      <c r="D375" s="11" t="str">
        <f aca="false">IF($B375="","",IFERROR(INDEX(Inventory!$E$2:$E$381,MATCH($B375,Inventory!$A$2:$A$381,0)),""))</f>
        <v/>
      </c>
      <c r="E375" s="24"/>
      <c r="F375" s="24"/>
      <c r="G375" s="23"/>
      <c r="H375" s="23"/>
      <c r="I375" s="23"/>
      <c r="J375" s="11" t="str">
        <f aca="false">IF($B375="","",IF($H375="","Out","Returned"))</f>
        <v/>
      </c>
    </row>
    <row r="376" customFormat="false" ht="15" hidden="false" customHeight="false" outlineLevel="0" collapsed="false">
      <c r="A376" s="23"/>
      <c r="B376" s="23"/>
      <c r="C376" s="10" t="str">
        <f aca="false">IF($B376="","",IFERROR(INDEX(Inventory!$B$2:$B$381,MATCH($B376,Inventory!$A$2:$A$381,0)),"unknown ID"))</f>
        <v/>
      </c>
      <c r="D376" s="11" t="str">
        <f aca="false">IF($B376="","",IFERROR(INDEX(Inventory!$E$2:$E$381,MATCH($B376,Inventory!$A$2:$A$381,0)),""))</f>
        <v/>
      </c>
      <c r="E376" s="24"/>
      <c r="F376" s="24"/>
      <c r="G376" s="23"/>
      <c r="H376" s="23"/>
      <c r="I376" s="23"/>
      <c r="J376" s="11" t="str">
        <f aca="false">IF($B376="","",IF($H376="","Out","Returned"))</f>
        <v/>
      </c>
    </row>
    <row r="377" customFormat="false" ht="15" hidden="false" customHeight="false" outlineLevel="0" collapsed="false">
      <c r="A377" s="23"/>
      <c r="B377" s="23"/>
      <c r="C377" s="10" t="str">
        <f aca="false">IF($B377="","",IFERROR(INDEX(Inventory!$B$2:$B$381,MATCH($B377,Inventory!$A$2:$A$381,0)),"unknown ID"))</f>
        <v/>
      </c>
      <c r="D377" s="11" t="str">
        <f aca="false">IF($B377="","",IFERROR(INDEX(Inventory!$E$2:$E$381,MATCH($B377,Inventory!$A$2:$A$381,0)),""))</f>
        <v/>
      </c>
      <c r="E377" s="24"/>
      <c r="F377" s="24"/>
      <c r="G377" s="23"/>
      <c r="H377" s="23"/>
      <c r="I377" s="23"/>
      <c r="J377" s="11" t="str">
        <f aca="false">IF($B377="","",IF($H377="","Out","Returned"))</f>
        <v/>
      </c>
    </row>
    <row r="378" customFormat="false" ht="15" hidden="false" customHeight="false" outlineLevel="0" collapsed="false">
      <c r="A378" s="23"/>
      <c r="B378" s="23"/>
      <c r="C378" s="10" t="str">
        <f aca="false">IF($B378="","",IFERROR(INDEX(Inventory!$B$2:$B$381,MATCH($B378,Inventory!$A$2:$A$381,0)),"unknown ID"))</f>
        <v/>
      </c>
      <c r="D378" s="11" t="str">
        <f aca="false">IF($B378="","",IFERROR(INDEX(Inventory!$E$2:$E$381,MATCH($B378,Inventory!$A$2:$A$381,0)),""))</f>
        <v/>
      </c>
      <c r="E378" s="24"/>
      <c r="F378" s="24"/>
      <c r="G378" s="23"/>
      <c r="H378" s="23"/>
      <c r="I378" s="23"/>
      <c r="J378" s="11" t="str">
        <f aca="false">IF($B378="","",IF($H378="","Out","Returned"))</f>
        <v/>
      </c>
    </row>
    <row r="379" customFormat="false" ht="15" hidden="false" customHeight="false" outlineLevel="0" collapsed="false">
      <c r="A379" s="23"/>
      <c r="B379" s="23"/>
      <c r="C379" s="10" t="str">
        <f aca="false">IF($B379="","",IFERROR(INDEX(Inventory!$B$2:$B$381,MATCH($B379,Inventory!$A$2:$A$381,0)),"unknown ID"))</f>
        <v/>
      </c>
      <c r="D379" s="11" t="str">
        <f aca="false">IF($B379="","",IFERROR(INDEX(Inventory!$E$2:$E$381,MATCH($B379,Inventory!$A$2:$A$381,0)),""))</f>
        <v/>
      </c>
      <c r="E379" s="24"/>
      <c r="F379" s="24"/>
      <c r="G379" s="23"/>
      <c r="H379" s="23"/>
      <c r="I379" s="23"/>
      <c r="J379" s="11" t="str">
        <f aca="false">IF($B379="","",IF($H379="","Out","Returned"))</f>
        <v/>
      </c>
    </row>
    <row r="380" customFormat="false" ht="15" hidden="false" customHeight="false" outlineLevel="0" collapsed="false">
      <c r="A380" s="23"/>
      <c r="B380" s="23"/>
      <c r="C380" s="10" t="str">
        <f aca="false">IF($B380="","",IFERROR(INDEX(Inventory!$B$2:$B$381,MATCH($B380,Inventory!$A$2:$A$381,0)),"unknown ID"))</f>
        <v/>
      </c>
      <c r="D380" s="11" t="str">
        <f aca="false">IF($B380="","",IFERROR(INDEX(Inventory!$E$2:$E$381,MATCH($B380,Inventory!$A$2:$A$381,0)),""))</f>
        <v/>
      </c>
      <c r="E380" s="24"/>
      <c r="F380" s="24"/>
      <c r="G380" s="23"/>
      <c r="H380" s="23"/>
      <c r="I380" s="23"/>
      <c r="J380" s="11" t="str">
        <f aca="false">IF($B380="","",IF($H380="","Out","Returned"))</f>
        <v/>
      </c>
    </row>
    <row r="381" customFormat="false" ht="15" hidden="false" customHeight="false" outlineLevel="0" collapsed="false">
      <c r="A381" s="23"/>
      <c r="B381" s="23"/>
      <c r="C381" s="10" t="str">
        <f aca="false">IF($B381="","",IFERROR(INDEX(Inventory!$B$2:$B$381,MATCH($B381,Inventory!$A$2:$A$381,0)),"unknown ID"))</f>
        <v/>
      </c>
      <c r="D381" s="11" t="str">
        <f aca="false">IF($B381="","",IFERROR(INDEX(Inventory!$E$2:$E$381,MATCH($B381,Inventory!$A$2:$A$381,0)),""))</f>
        <v/>
      </c>
      <c r="E381" s="24"/>
      <c r="F381" s="24"/>
      <c r="G381" s="23"/>
      <c r="H381" s="23"/>
      <c r="I381" s="23"/>
      <c r="J381" s="11" t="str">
        <f aca="false">IF($B381="","",IF($H381="","Out","Returned"))</f>
        <v/>
      </c>
    </row>
    <row r="382" customFormat="false" ht="15" hidden="false" customHeight="false" outlineLevel="0" collapsed="false">
      <c r="A382" s="23"/>
      <c r="B382" s="23"/>
      <c r="C382" s="10" t="str">
        <f aca="false">IF($B382="","",IFERROR(INDEX(Inventory!$B$2:$B$381,MATCH($B382,Inventory!$A$2:$A$381,0)),"unknown ID"))</f>
        <v/>
      </c>
      <c r="D382" s="11" t="str">
        <f aca="false">IF($B382="","",IFERROR(INDEX(Inventory!$E$2:$E$381,MATCH($B382,Inventory!$A$2:$A$381,0)),""))</f>
        <v/>
      </c>
      <c r="E382" s="24"/>
      <c r="F382" s="24"/>
      <c r="G382" s="23"/>
      <c r="H382" s="23"/>
      <c r="I382" s="23"/>
      <c r="J382" s="11" t="str">
        <f aca="false">IF($B382="","",IF($H382="","Out","Returned"))</f>
        <v/>
      </c>
    </row>
    <row r="383" customFormat="false" ht="15" hidden="false" customHeight="false" outlineLevel="0" collapsed="false">
      <c r="A383" s="23"/>
      <c r="B383" s="23"/>
      <c r="C383" s="10" t="str">
        <f aca="false">IF($B383="","",IFERROR(INDEX(Inventory!$B$2:$B$381,MATCH($B383,Inventory!$A$2:$A$381,0)),"unknown ID"))</f>
        <v/>
      </c>
      <c r="D383" s="11" t="str">
        <f aca="false">IF($B383="","",IFERROR(INDEX(Inventory!$E$2:$E$381,MATCH($B383,Inventory!$A$2:$A$381,0)),""))</f>
        <v/>
      </c>
      <c r="E383" s="24"/>
      <c r="F383" s="24"/>
      <c r="G383" s="23"/>
      <c r="H383" s="23"/>
      <c r="I383" s="23"/>
      <c r="J383" s="11" t="str">
        <f aca="false">IF($B383="","",IF($H383="","Out","Returned"))</f>
        <v/>
      </c>
    </row>
    <row r="384" customFormat="false" ht="15" hidden="false" customHeight="false" outlineLevel="0" collapsed="false">
      <c r="A384" s="23"/>
      <c r="B384" s="23"/>
      <c r="C384" s="10" t="str">
        <f aca="false">IF($B384="","",IFERROR(INDEX(Inventory!$B$2:$B$381,MATCH($B384,Inventory!$A$2:$A$381,0)),"unknown ID"))</f>
        <v/>
      </c>
      <c r="D384" s="11" t="str">
        <f aca="false">IF($B384="","",IFERROR(INDEX(Inventory!$E$2:$E$381,MATCH($B384,Inventory!$A$2:$A$381,0)),""))</f>
        <v/>
      </c>
      <c r="E384" s="24"/>
      <c r="F384" s="24"/>
      <c r="G384" s="23"/>
      <c r="H384" s="23"/>
      <c r="I384" s="23"/>
      <c r="J384" s="11" t="str">
        <f aca="false">IF($B384="","",IF($H384="","Out","Returned"))</f>
        <v/>
      </c>
    </row>
    <row r="385" customFormat="false" ht="15" hidden="false" customHeight="false" outlineLevel="0" collapsed="false">
      <c r="A385" s="23"/>
      <c r="B385" s="23"/>
      <c r="C385" s="10" t="str">
        <f aca="false">IF($B385="","",IFERROR(INDEX(Inventory!$B$2:$B$381,MATCH($B385,Inventory!$A$2:$A$381,0)),"unknown ID"))</f>
        <v/>
      </c>
      <c r="D385" s="11" t="str">
        <f aca="false">IF($B385="","",IFERROR(INDEX(Inventory!$E$2:$E$381,MATCH($B385,Inventory!$A$2:$A$381,0)),""))</f>
        <v/>
      </c>
      <c r="E385" s="24"/>
      <c r="F385" s="24"/>
      <c r="G385" s="23"/>
      <c r="H385" s="23"/>
      <c r="I385" s="23"/>
      <c r="J385" s="11" t="str">
        <f aca="false">IF($B385="","",IF($H385="","Out","Returned"))</f>
        <v/>
      </c>
    </row>
    <row r="386" customFormat="false" ht="15" hidden="false" customHeight="false" outlineLevel="0" collapsed="false">
      <c r="A386" s="23"/>
      <c r="B386" s="23"/>
      <c r="C386" s="10" t="str">
        <f aca="false">IF($B386="","",IFERROR(INDEX(Inventory!$B$2:$B$381,MATCH($B386,Inventory!$A$2:$A$381,0)),"unknown ID"))</f>
        <v/>
      </c>
      <c r="D386" s="11" t="str">
        <f aca="false">IF($B386="","",IFERROR(INDEX(Inventory!$E$2:$E$381,MATCH($B386,Inventory!$A$2:$A$381,0)),""))</f>
        <v/>
      </c>
      <c r="E386" s="24"/>
      <c r="F386" s="24"/>
      <c r="G386" s="23"/>
      <c r="H386" s="23"/>
      <c r="I386" s="23"/>
      <c r="J386" s="11" t="str">
        <f aca="false">IF($B386="","",IF($H386="","Out","Returned"))</f>
        <v/>
      </c>
    </row>
    <row r="387" customFormat="false" ht="15" hidden="false" customHeight="false" outlineLevel="0" collapsed="false">
      <c r="A387" s="23"/>
      <c r="B387" s="23"/>
      <c r="C387" s="10" t="str">
        <f aca="false">IF($B387="","",IFERROR(INDEX(Inventory!$B$2:$B$381,MATCH($B387,Inventory!$A$2:$A$381,0)),"unknown ID"))</f>
        <v/>
      </c>
      <c r="D387" s="11" t="str">
        <f aca="false">IF($B387="","",IFERROR(INDEX(Inventory!$E$2:$E$381,MATCH($B387,Inventory!$A$2:$A$381,0)),""))</f>
        <v/>
      </c>
      <c r="E387" s="24"/>
      <c r="F387" s="24"/>
      <c r="G387" s="23"/>
      <c r="H387" s="23"/>
      <c r="I387" s="23"/>
      <c r="J387" s="11" t="str">
        <f aca="false">IF($B387="","",IF($H387="","Out","Returned"))</f>
        <v/>
      </c>
    </row>
    <row r="388" customFormat="false" ht="15" hidden="false" customHeight="false" outlineLevel="0" collapsed="false">
      <c r="A388" s="23"/>
      <c r="B388" s="23"/>
      <c r="C388" s="10" t="str">
        <f aca="false">IF($B388="","",IFERROR(INDEX(Inventory!$B$2:$B$381,MATCH($B388,Inventory!$A$2:$A$381,0)),"unknown ID"))</f>
        <v/>
      </c>
      <c r="D388" s="11" t="str">
        <f aca="false">IF($B388="","",IFERROR(INDEX(Inventory!$E$2:$E$381,MATCH($B388,Inventory!$A$2:$A$381,0)),""))</f>
        <v/>
      </c>
      <c r="E388" s="24"/>
      <c r="F388" s="24"/>
      <c r="G388" s="23"/>
      <c r="H388" s="23"/>
      <c r="I388" s="23"/>
      <c r="J388" s="11" t="str">
        <f aca="false">IF($B388="","",IF($H388="","Out","Returned"))</f>
        <v/>
      </c>
    </row>
    <row r="389" customFormat="false" ht="15" hidden="false" customHeight="false" outlineLevel="0" collapsed="false">
      <c r="A389" s="23"/>
      <c r="B389" s="23"/>
      <c r="C389" s="10" t="str">
        <f aca="false">IF($B389="","",IFERROR(INDEX(Inventory!$B$2:$B$381,MATCH($B389,Inventory!$A$2:$A$381,0)),"unknown ID"))</f>
        <v/>
      </c>
      <c r="D389" s="11" t="str">
        <f aca="false">IF($B389="","",IFERROR(INDEX(Inventory!$E$2:$E$381,MATCH($B389,Inventory!$A$2:$A$381,0)),""))</f>
        <v/>
      </c>
      <c r="E389" s="24"/>
      <c r="F389" s="24"/>
      <c r="G389" s="23"/>
      <c r="H389" s="23"/>
      <c r="I389" s="23"/>
      <c r="J389" s="11" t="str">
        <f aca="false">IF($B389="","",IF($H389="","Out","Returned"))</f>
        <v/>
      </c>
    </row>
    <row r="390" customFormat="false" ht="15" hidden="false" customHeight="false" outlineLevel="0" collapsed="false">
      <c r="A390" s="23"/>
      <c r="B390" s="23"/>
      <c r="C390" s="10" t="str">
        <f aca="false">IF($B390="","",IFERROR(INDEX(Inventory!$B$2:$B$381,MATCH($B390,Inventory!$A$2:$A$381,0)),"unknown ID"))</f>
        <v/>
      </c>
      <c r="D390" s="11" t="str">
        <f aca="false">IF($B390="","",IFERROR(INDEX(Inventory!$E$2:$E$381,MATCH($B390,Inventory!$A$2:$A$381,0)),""))</f>
        <v/>
      </c>
      <c r="E390" s="24"/>
      <c r="F390" s="24"/>
      <c r="G390" s="23"/>
      <c r="H390" s="23"/>
      <c r="I390" s="23"/>
      <c r="J390" s="11" t="str">
        <f aca="false">IF($B390="","",IF($H390="","Out","Returned"))</f>
        <v/>
      </c>
    </row>
    <row r="391" customFormat="false" ht="15" hidden="false" customHeight="false" outlineLevel="0" collapsed="false">
      <c r="A391" s="23"/>
      <c r="B391" s="23"/>
      <c r="C391" s="10" t="str">
        <f aca="false">IF($B391="","",IFERROR(INDEX(Inventory!$B$2:$B$381,MATCH($B391,Inventory!$A$2:$A$381,0)),"unknown ID"))</f>
        <v/>
      </c>
      <c r="D391" s="11" t="str">
        <f aca="false">IF($B391="","",IFERROR(INDEX(Inventory!$E$2:$E$381,MATCH($B391,Inventory!$A$2:$A$381,0)),""))</f>
        <v/>
      </c>
      <c r="E391" s="24"/>
      <c r="F391" s="24"/>
      <c r="G391" s="23"/>
      <c r="H391" s="23"/>
      <c r="I391" s="23"/>
      <c r="J391" s="11" t="str">
        <f aca="false">IF($B391="","",IF($H391="","Out","Returned"))</f>
        <v/>
      </c>
    </row>
    <row r="392" customFormat="false" ht="15" hidden="false" customHeight="false" outlineLevel="0" collapsed="false">
      <c r="A392" s="23"/>
      <c r="B392" s="23"/>
      <c r="C392" s="10" t="str">
        <f aca="false">IF($B392="","",IFERROR(INDEX(Inventory!$B$2:$B$381,MATCH($B392,Inventory!$A$2:$A$381,0)),"unknown ID"))</f>
        <v/>
      </c>
      <c r="D392" s="11" t="str">
        <f aca="false">IF($B392="","",IFERROR(INDEX(Inventory!$E$2:$E$381,MATCH($B392,Inventory!$A$2:$A$381,0)),""))</f>
        <v/>
      </c>
      <c r="E392" s="24"/>
      <c r="F392" s="24"/>
      <c r="G392" s="23"/>
      <c r="H392" s="23"/>
      <c r="I392" s="23"/>
      <c r="J392" s="11" t="str">
        <f aca="false">IF($B392="","",IF($H392="","Out","Returned"))</f>
        <v/>
      </c>
    </row>
    <row r="393" customFormat="false" ht="15" hidden="false" customHeight="false" outlineLevel="0" collapsed="false">
      <c r="A393" s="23"/>
      <c r="B393" s="23"/>
      <c r="C393" s="10" t="str">
        <f aca="false">IF($B393="","",IFERROR(INDEX(Inventory!$B$2:$B$381,MATCH($B393,Inventory!$A$2:$A$381,0)),"unknown ID"))</f>
        <v/>
      </c>
      <c r="D393" s="11" t="str">
        <f aca="false">IF($B393="","",IFERROR(INDEX(Inventory!$E$2:$E$381,MATCH($B393,Inventory!$A$2:$A$381,0)),""))</f>
        <v/>
      </c>
      <c r="E393" s="24"/>
      <c r="F393" s="24"/>
      <c r="G393" s="23"/>
      <c r="H393" s="23"/>
      <c r="I393" s="23"/>
      <c r="J393" s="11" t="str">
        <f aca="false">IF($B393="","",IF($H393="","Out","Returned"))</f>
        <v/>
      </c>
    </row>
    <row r="394" customFormat="false" ht="15" hidden="false" customHeight="false" outlineLevel="0" collapsed="false">
      <c r="A394" s="23"/>
      <c r="B394" s="23"/>
      <c r="C394" s="10" t="str">
        <f aca="false">IF($B394="","",IFERROR(INDEX(Inventory!$B$2:$B$381,MATCH($B394,Inventory!$A$2:$A$381,0)),"unknown ID"))</f>
        <v/>
      </c>
      <c r="D394" s="11" t="str">
        <f aca="false">IF($B394="","",IFERROR(INDEX(Inventory!$E$2:$E$381,MATCH($B394,Inventory!$A$2:$A$381,0)),""))</f>
        <v/>
      </c>
      <c r="E394" s="24"/>
      <c r="F394" s="24"/>
      <c r="G394" s="23"/>
      <c r="H394" s="23"/>
      <c r="I394" s="23"/>
      <c r="J394" s="11" t="str">
        <f aca="false">IF($B394="","",IF($H394="","Out","Returned"))</f>
        <v/>
      </c>
    </row>
    <row r="395" customFormat="false" ht="15" hidden="false" customHeight="false" outlineLevel="0" collapsed="false">
      <c r="A395" s="23"/>
      <c r="B395" s="23"/>
      <c r="C395" s="10" t="str">
        <f aca="false">IF($B395="","",IFERROR(INDEX(Inventory!$B$2:$B$381,MATCH($B395,Inventory!$A$2:$A$381,0)),"unknown ID"))</f>
        <v/>
      </c>
      <c r="D395" s="11" t="str">
        <f aca="false">IF($B395="","",IFERROR(INDEX(Inventory!$E$2:$E$381,MATCH($B395,Inventory!$A$2:$A$381,0)),""))</f>
        <v/>
      </c>
      <c r="E395" s="24"/>
      <c r="F395" s="24"/>
      <c r="G395" s="23"/>
      <c r="H395" s="23"/>
      <c r="I395" s="23"/>
      <c r="J395" s="11" t="str">
        <f aca="false">IF($B395="","",IF($H395="","Out","Returned"))</f>
        <v/>
      </c>
    </row>
    <row r="396" customFormat="false" ht="15" hidden="false" customHeight="false" outlineLevel="0" collapsed="false">
      <c r="A396" s="23"/>
      <c r="B396" s="23"/>
      <c r="C396" s="10" t="str">
        <f aca="false">IF($B396="","",IFERROR(INDEX(Inventory!$B$2:$B$381,MATCH($B396,Inventory!$A$2:$A$381,0)),"unknown ID"))</f>
        <v/>
      </c>
      <c r="D396" s="11" t="str">
        <f aca="false">IF($B396="","",IFERROR(INDEX(Inventory!$E$2:$E$381,MATCH($B396,Inventory!$A$2:$A$381,0)),""))</f>
        <v/>
      </c>
      <c r="E396" s="24"/>
      <c r="F396" s="24"/>
      <c r="G396" s="23"/>
      <c r="H396" s="23"/>
      <c r="I396" s="23"/>
      <c r="J396" s="11" t="str">
        <f aca="false">IF($B396="","",IF($H396="","Out","Returned"))</f>
        <v/>
      </c>
    </row>
    <row r="397" customFormat="false" ht="15" hidden="false" customHeight="false" outlineLevel="0" collapsed="false">
      <c r="A397" s="23"/>
      <c r="B397" s="23"/>
      <c r="C397" s="10" t="str">
        <f aca="false">IF($B397="","",IFERROR(INDEX(Inventory!$B$2:$B$381,MATCH($B397,Inventory!$A$2:$A$381,0)),"unknown ID"))</f>
        <v/>
      </c>
      <c r="D397" s="11" t="str">
        <f aca="false">IF($B397="","",IFERROR(INDEX(Inventory!$E$2:$E$381,MATCH($B397,Inventory!$A$2:$A$381,0)),""))</f>
        <v/>
      </c>
      <c r="E397" s="24"/>
      <c r="F397" s="24"/>
      <c r="G397" s="23"/>
      <c r="H397" s="23"/>
      <c r="I397" s="23"/>
      <c r="J397" s="11" t="str">
        <f aca="false">IF($B397="","",IF($H397="","Out","Returned"))</f>
        <v/>
      </c>
    </row>
    <row r="398" customFormat="false" ht="15" hidden="false" customHeight="false" outlineLevel="0" collapsed="false">
      <c r="A398" s="23"/>
      <c r="B398" s="23"/>
      <c r="C398" s="10" t="str">
        <f aca="false">IF($B398="","",IFERROR(INDEX(Inventory!$B$2:$B$381,MATCH($B398,Inventory!$A$2:$A$381,0)),"unknown ID"))</f>
        <v/>
      </c>
      <c r="D398" s="11" t="str">
        <f aca="false">IF($B398="","",IFERROR(INDEX(Inventory!$E$2:$E$381,MATCH($B398,Inventory!$A$2:$A$381,0)),""))</f>
        <v/>
      </c>
      <c r="E398" s="24"/>
      <c r="F398" s="24"/>
      <c r="G398" s="23"/>
      <c r="H398" s="23"/>
      <c r="I398" s="23"/>
      <c r="J398" s="11" t="str">
        <f aca="false">IF($B398="","",IF($H398="","Out","Returned"))</f>
        <v/>
      </c>
    </row>
    <row r="399" customFormat="false" ht="15" hidden="false" customHeight="false" outlineLevel="0" collapsed="false">
      <c r="A399" s="23"/>
      <c r="B399" s="23"/>
      <c r="C399" s="10" t="str">
        <f aca="false">IF($B399="","",IFERROR(INDEX(Inventory!$B$2:$B$381,MATCH($B399,Inventory!$A$2:$A$381,0)),"unknown ID"))</f>
        <v/>
      </c>
      <c r="D399" s="11" t="str">
        <f aca="false">IF($B399="","",IFERROR(INDEX(Inventory!$E$2:$E$381,MATCH($B399,Inventory!$A$2:$A$381,0)),""))</f>
        <v/>
      </c>
      <c r="E399" s="24"/>
      <c r="F399" s="24"/>
      <c r="G399" s="23"/>
      <c r="H399" s="23"/>
      <c r="I399" s="23"/>
      <c r="J399" s="11" t="str">
        <f aca="false">IF($B399="","",IF($H399="","Out","Returned"))</f>
        <v/>
      </c>
    </row>
    <row r="400" customFormat="false" ht="15" hidden="false" customHeight="false" outlineLevel="0" collapsed="false">
      <c r="A400" s="23"/>
      <c r="B400" s="23"/>
      <c r="C400" s="10" t="str">
        <f aca="false">IF($B400="","",IFERROR(INDEX(Inventory!$B$2:$B$381,MATCH($B400,Inventory!$A$2:$A$381,0)),"unknown ID"))</f>
        <v/>
      </c>
      <c r="D400" s="11" t="str">
        <f aca="false">IF($B400="","",IFERROR(INDEX(Inventory!$E$2:$E$381,MATCH($B400,Inventory!$A$2:$A$381,0)),""))</f>
        <v/>
      </c>
      <c r="E400" s="24"/>
      <c r="F400" s="24"/>
      <c r="G400" s="23"/>
      <c r="H400" s="23"/>
      <c r="I400" s="23"/>
      <c r="J400" s="11" t="str">
        <f aca="false">IF($B400="","",IF($H400="","Out","Returned"))</f>
        <v/>
      </c>
    </row>
    <row r="401" customFormat="false" ht="15" hidden="false" customHeight="false" outlineLevel="0" collapsed="false">
      <c r="A401" s="23"/>
      <c r="B401" s="23"/>
      <c r="C401" s="10" t="str">
        <f aca="false">IF($B401="","",IFERROR(INDEX(Inventory!$B$2:$B$381,MATCH($B401,Inventory!$A$2:$A$381,0)),"unknown ID"))</f>
        <v/>
      </c>
      <c r="D401" s="11" t="str">
        <f aca="false">IF($B401="","",IFERROR(INDEX(Inventory!$E$2:$E$381,MATCH($B401,Inventory!$A$2:$A$381,0)),""))</f>
        <v/>
      </c>
      <c r="E401" s="24"/>
      <c r="F401" s="24"/>
      <c r="G401" s="23"/>
      <c r="H401" s="23"/>
      <c r="I401" s="23"/>
      <c r="J401" s="11" t="str">
        <f aca="false">IF($B401="","",IF($H401="","Out","Returned"))</f>
        <v/>
      </c>
    </row>
    <row r="402" customFormat="false" ht="15" hidden="false" customHeight="false" outlineLevel="0" collapsed="false">
      <c r="A402" s="23"/>
      <c r="B402" s="23"/>
      <c r="C402" s="10" t="str">
        <f aca="false">IF($B402="","",IFERROR(INDEX(Inventory!$B$2:$B$381,MATCH($B402,Inventory!$A$2:$A$381,0)),"unknown ID"))</f>
        <v/>
      </c>
      <c r="D402" s="11" t="str">
        <f aca="false">IF($B402="","",IFERROR(INDEX(Inventory!$E$2:$E$381,MATCH($B402,Inventory!$A$2:$A$381,0)),""))</f>
        <v/>
      </c>
      <c r="E402" s="24"/>
      <c r="F402" s="24"/>
      <c r="G402" s="23"/>
      <c r="H402" s="23"/>
      <c r="I402" s="23"/>
      <c r="J402" s="11" t="str">
        <f aca="false">IF($B402="","",IF($H402="","Out","Returned"))</f>
        <v/>
      </c>
    </row>
    <row r="403" customFormat="false" ht="15" hidden="false" customHeight="false" outlineLevel="0" collapsed="false">
      <c r="A403" s="23"/>
      <c r="B403" s="23"/>
      <c r="C403" s="10" t="str">
        <f aca="false">IF($B403="","",IFERROR(INDEX(Inventory!$B$2:$B$381,MATCH($B403,Inventory!$A$2:$A$381,0)),"unknown ID"))</f>
        <v/>
      </c>
      <c r="D403" s="11" t="str">
        <f aca="false">IF($B403="","",IFERROR(INDEX(Inventory!$E$2:$E$381,MATCH($B403,Inventory!$A$2:$A$381,0)),""))</f>
        <v/>
      </c>
      <c r="E403" s="24"/>
      <c r="F403" s="24"/>
      <c r="G403" s="23"/>
      <c r="H403" s="23"/>
      <c r="I403" s="23"/>
      <c r="J403" s="11" t="str">
        <f aca="false">IF($B403="","",IF($H403="","Out","Returned"))</f>
        <v/>
      </c>
    </row>
    <row r="404" customFormat="false" ht="15" hidden="false" customHeight="false" outlineLevel="0" collapsed="false">
      <c r="A404" s="23"/>
      <c r="B404" s="23"/>
      <c r="C404" s="10" t="str">
        <f aca="false">IF($B404="","",IFERROR(INDEX(Inventory!$B$2:$B$381,MATCH($B404,Inventory!$A$2:$A$381,0)),"unknown ID"))</f>
        <v/>
      </c>
      <c r="D404" s="11" t="str">
        <f aca="false">IF($B404="","",IFERROR(INDEX(Inventory!$E$2:$E$381,MATCH($B404,Inventory!$A$2:$A$381,0)),""))</f>
        <v/>
      </c>
      <c r="E404" s="24"/>
      <c r="F404" s="24"/>
      <c r="G404" s="23"/>
      <c r="H404" s="23"/>
      <c r="I404" s="23"/>
      <c r="J404" s="11" t="str">
        <f aca="false">IF($B404="","",IF($H404="","Out","Returned"))</f>
        <v/>
      </c>
    </row>
    <row r="405" customFormat="false" ht="15" hidden="false" customHeight="false" outlineLevel="0" collapsed="false">
      <c r="A405" s="23"/>
      <c r="B405" s="23"/>
      <c r="C405" s="10" t="str">
        <f aca="false">IF($B405="","",IFERROR(INDEX(Inventory!$B$2:$B$381,MATCH($B405,Inventory!$A$2:$A$381,0)),"unknown ID"))</f>
        <v/>
      </c>
      <c r="D405" s="11" t="str">
        <f aca="false">IF($B405="","",IFERROR(INDEX(Inventory!$E$2:$E$381,MATCH($B405,Inventory!$A$2:$A$381,0)),""))</f>
        <v/>
      </c>
      <c r="E405" s="24"/>
      <c r="F405" s="24"/>
      <c r="G405" s="23"/>
      <c r="H405" s="23"/>
      <c r="I405" s="23"/>
      <c r="J405" s="11" t="str">
        <f aca="false">IF($B405="","",IF($H405="","Out","Returned"))</f>
        <v/>
      </c>
    </row>
    <row r="406" customFormat="false" ht="15" hidden="false" customHeight="false" outlineLevel="0" collapsed="false">
      <c r="A406" s="23"/>
      <c r="B406" s="23"/>
      <c r="C406" s="10" t="str">
        <f aca="false">IF($B406="","",IFERROR(INDEX(Inventory!$B$2:$B$381,MATCH($B406,Inventory!$A$2:$A$381,0)),"unknown ID"))</f>
        <v/>
      </c>
      <c r="D406" s="11" t="str">
        <f aca="false">IF($B406="","",IFERROR(INDEX(Inventory!$E$2:$E$381,MATCH($B406,Inventory!$A$2:$A$381,0)),""))</f>
        <v/>
      </c>
      <c r="E406" s="24"/>
      <c r="F406" s="24"/>
      <c r="G406" s="23"/>
      <c r="H406" s="23"/>
      <c r="I406" s="23"/>
      <c r="J406" s="11" t="str">
        <f aca="false">IF($B406="","",IF($H406="","Out","Returned"))</f>
        <v/>
      </c>
    </row>
    <row r="407" customFormat="false" ht="15" hidden="false" customHeight="false" outlineLevel="0" collapsed="false">
      <c r="A407" s="23"/>
      <c r="B407" s="23"/>
      <c r="C407" s="10" t="str">
        <f aca="false">IF($B407="","",IFERROR(INDEX(Inventory!$B$2:$B$381,MATCH($B407,Inventory!$A$2:$A$381,0)),"unknown ID"))</f>
        <v/>
      </c>
      <c r="D407" s="11" t="str">
        <f aca="false">IF($B407="","",IFERROR(INDEX(Inventory!$E$2:$E$381,MATCH($B407,Inventory!$A$2:$A$381,0)),""))</f>
        <v/>
      </c>
      <c r="E407" s="24"/>
      <c r="F407" s="24"/>
      <c r="G407" s="23"/>
      <c r="H407" s="23"/>
      <c r="I407" s="23"/>
      <c r="J407" s="11" t="str">
        <f aca="false">IF($B407="","",IF($H407="","Out","Returned"))</f>
        <v/>
      </c>
    </row>
    <row r="408" customFormat="false" ht="15" hidden="false" customHeight="false" outlineLevel="0" collapsed="false">
      <c r="A408" s="23"/>
      <c r="B408" s="23"/>
      <c r="C408" s="10" t="str">
        <f aca="false">IF($B408="","",IFERROR(INDEX(Inventory!$B$2:$B$381,MATCH($B408,Inventory!$A$2:$A$381,0)),"unknown ID"))</f>
        <v/>
      </c>
      <c r="D408" s="11" t="str">
        <f aca="false">IF($B408="","",IFERROR(INDEX(Inventory!$E$2:$E$381,MATCH($B408,Inventory!$A$2:$A$381,0)),""))</f>
        <v/>
      </c>
      <c r="E408" s="24"/>
      <c r="F408" s="24"/>
      <c r="G408" s="23"/>
      <c r="H408" s="23"/>
      <c r="I408" s="23"/>
      <c r="J408" s="11" t="str">
        <f aca="false">IF($B408="","",IF($H408="","Out","Returned"))</f>
        <v/>
      </c>
    </row>
    <row r="409" customFormat="false" ht="15" hidden="false" customHeight="false" outlineLevel="0" collapsed="false">
      <c r="A409" s="23"/>
      <c r="B409" s="23"/>
      <c r="C409" s="10" t="str">
        <f aca="false">IF($B409="","",IFERROR(INDEX(Inventory!$B$2:$B$381,MATCH($B409,Inventory!$A$2:$A$381,0)),"unknown ID"))</f>
        <v/>
      </c>
      <c r="D409" s="11" t="str">
        <f aca="false">IF($B409="","",IFERROR(INDEX(Inventory!$E$2:$E$381,MATCH($B409,Inventory!$A$2:$A$381,0)),""))</f>
        <v/>
      </c>
      <c r="E409" s="24"/>
      <c r="F409" s="24"/>
      <c r="G409" s="23"/>
      <c r="H409" s="23"/>
      <c r="I409" s="23"/>
      <c r="J409" s="11" t="str">
        <f aca="false">IF($B409="","",IF($H409="","Out","Returned"))</f>
        <v/>
      </c>
    </row>
    <row r="410" customFormat="false" ht="15" hidden="false" customHeight="false" outlineLevel="0" collapsed="false">
      <c r="A410" s="23"/>
      <c r="B410" s="23"/>
      <c r="C410" s="10" t="str">
        <f aca="false">IF($B410="","",IFERROR(INDEX(Inventory!$B$2:$B$381,MATCH($B410,Inventory!$A$2:$A$381,0)),"unknown ID"))</f>
        <v/>
      </c>
      <c r="D410" s="11" t="str">
        <f aca="false">IF($B410="","",IFERROR(INDEX(Inventory!$E$2:$E$381,MATCH($B410,Inventory!$A$2:$A$381,0)),""))</f>
        <v/>
      </c>
      <c r="E410" s="24"/>
      <c r="F410" s="24"/>
      <c r="G410" s="23"/>
      <c r="H410" s="23"/>
      <c r="I410" s="23"/>
      <c r="J410" s="11" t="str">
        <f aca="false">IF($B410="","",IF($H410="","Out","Returned"))</f>
        <v/>
      </c>
    </row>
    <row r="411" customFormat="false" ht="15" hidden="false" customHeight="false" outlineLevel="0" collapsed="false">
      <c r="A411" s="23"/>
      <c r="B411" s="23"/>
      <c r="C411" s="10" t="str">
        <f aca="false">IF($B411="","",IFERROR(INDEX(Inventory!$B$2:$B$381,MATCH($B411,Inventory!$A$2:$A$381,0)),"unknown ID"))</f>
        <v/>
      </c>
      <c r="D411" s="11" t="str">
        <f aca="false">IF($B411="","",IFERROR(INDEX(Inventory!$E$2:$E$381,MATCH($B411,Inventory!$A$2:$A$381,0)),""))</f>
        <v/>
      </c>
      <c r="E411" s="24"/>
      <c r="F411" s="24"/>
      <c r="G411" s="23"/>
      <c r="H411" s="23"/>
      <c r="I411" s="23"/>
      <c r="J411" s="11" t="str">
        <f aca="false">IF($B411="","",IF($H411="","Out","Returned"))</f>
        <v/>
      </c>
    </row>
    <row r="412" customFormat="false" ht="15" hidden="false" customHeight="false" outlineLevel="0" collapsed="false">
      <c r="A412" s="23"/>
      <c r="B412" s="23"/>
      <c r="C412" s="10" t="str">
        <f aca="false">IF($B412="","",IFERROR(INDEX(Inventory!$B$2:$B$381,MATCH($B412,Inventory!$A$2:$A$381,0)),"unknown ID"))</f>
        <v/>
      </c>
      <c r="D412" s="11" t="str">
        <f aca="false">IF($B412="","",IFERROR(INDEX(Inventory!$E$2:$E$381,MATCH($B412,Inventory!$A$2:$A$381,0)),""))</f>
        <v/>
      </c>
      <c r="E412" s="24"/>
      <c r="F412" s="24"/>
      <c r="G412" s="23"/>
      <c r="H412" s="23"/>
      <c r="I412" s="23"/>
      <c r="J412" s="11" t="str">
        <f aca="false">IF($B412="","",IF($H412="","Out","Returned"))</f>
        <v/>
      </c>
    </row>
    <row r="413" customFormat="false" ht="15" hidden="false" customHeight="false" outlineLevel="0" collapsed="false">
      <c r="A413" s="23"/>
      <c r="B413" s="23"/>
      <c r="C413" s="10" t="str">
        <f aca="false">IF($B413="","",IFERROR(INDEX(Inventory!$B$2:$B$381,MATCH($B413,Inventory!$A$2:$A$381,0)),"unknown ID"))</f>
        <v/>
      </c>
      <c r="D413" s="11" t="str">
        <f aca="false">IF($B413="","",IFERROR(INDEX(Inventory!$E$2:$E$381,MATCH($B413,Inventory!$A$2:$A$381,0)),""))</f>
        <v/>
      </c>
      <c r="E413" s="24"/>
      <c r="F413" s="24"/>
      <c r="G413" s="23"/>
      <c r="H413" s="23"/>
      <c r="I413" s="23"/>
      <c r="J413" s="11" t="str">
        <f aca="false">IF($B413="","",IF($H413="","Out","Returned"))</f>
        <v/>
      </c>
    </row>
    <row r="414" customFormat="false" ht="15" hidden="false" customHeight="false" outlineLevel="0" collapsed="false">
      <c r="A414" s="23"/>
      <c r="B414" s="23"/>
      <c r="C414" s="10" t="str">
        <f aca="false">IF($B414="","",IFERROR(INDEX(Inventory!$B$2:$B$381,MATCH($B414,Inventory!$A$2:$A$381,0)),"unknown ID"))</f>
        <v/>
      </c>
      <c r="D414" s="11" t="str">
        <f aca="false">IF($B414="","",IFERROR(INDEX(Inventory!$E$2:$E$381,MATCH($B414,Inventory!$A$2:$A$381,0)),""))</f>
        <v/>
      </c>
      <c r="E414" s="24"/>
      <c r="F414" s="24"/>
      <c r="G414" s="23"/>
      <c r="H414" s="23"/>
      <c r="I414" s="23"/>
      <c r="J414" s="11" t="str">
        <f aca="false">IF($B414="","",IF($H414="","Out","Returned"))</f>
        <v/>
      </c>
    </row>
    <row r="415" customFormat="false" ht="15" hidden="false" customHeight="false" outlineLevel="0" collapsed="false">
      <c r="A415" s="23"/>
      <c r="B415" s="23"/>
      <c r="C415" s="10" t="str">
        <f aca="false">IF($B415="","",IFERROR(INDEX(Inventory!$B$2:$B$381,MATCH($B415,Inventory!$A$2:$A$381,0)),"unknown ID"))</f>
        <v/>
      </c>
      <c r="D415" s="11" t="str">
        <f aca="false">IF($B415="","",IFERROR(INDEX(Inventory!$E$2:$E$381,MATCH($B415,Inventory!$A$2:$A$381,0)),""))</f>
        <v/>
      </c>
      <c r="E415" s="24"/>
      <c r="F415" s="24"/>
      <c r="G415" s="23"/>
      <c r="H415" s="23"/>
      <c r="I415" s="23"/>
      <c r="J415" s="11" t="str">
        <f aca="false">IF($B415="","",IF($H415="","Out","Returned"))</f>
        <v/>
      </c>
    </row>
    <row r="416" customFormat="false" ht="15" hidden="false" customHeight="false" outlineLevel="0" collapsed="false">
      <c r="A416" s="23"/>
      <c r="B416" s="23"/>
      <c r="C416" s="10" t="str">
        <f aca="false">IF($B416="","",IFERROR(INDEX(Inventory!$B$2:$B$381,MATCH($B416,Inventory!$A$2:$A$381,0)),"unknown ID"))</f>
        <v/>
      </c>
      <c r="D416" s="11" t="str">
        <f aca="false">IF($B416="","",IFERROR(INDEX(Inventory!$E$2:$E$381,MATCH($B416,Inventory!$A$2:$A$381,0)),""))</f>
        <v/>
      </c>
      <c r="E416" s="24"/>
      <c r="F416" s="24"/>
      <c r="G416" s="23"/>
      <c r="H416" s="23"/>
      <c r="I416" s="23"/>
      <c r="J416" s="11" t="str">
        <f aca="false">IF($B416="","",IF($H416="","Out","Returned"))</f>
        <v/>
      </c>
    </row>
    <row r="417" customFormat="false" ht="15" hidden="false" customHeight="false" outlineLevel="0" collapsed="false">
      <c r="A417" s="23"/>
      <c r="B417" s="23"/>
      <c r="C417" s="10" t="str">
        <f aca="false">IF($B417="","",IFERROR(INDEX(Inventory!$B$2:$B$381,MATCH($B417,Inventory!$A$2:$A$381,0)),"unknown ID"))</f>
        <v/>
      </c>
      <c r="D417" s="11" t="str">
        <f aca="false">IF($B417="","",IFERROR(INDEX(Inventory!$E$2:$E$381,MATCH($B417,Inventory!$A$2:$A$381,0)),""))</f>
        <v/>
      </c>
      <c r="E417" s="24"/>
      <c r="F417" s="24"/>
      <c r="G417" s="23"/>
      <c r="H417" s="23"/>
      <c r="I417" s="23"/>
      <c r="J417" s="11" t="str">
        <f aca="false">IF($B417="","",IF($H417="","Out","Returned"))</f>
        <v/>
      </c>
    </row>
    <row r="418" customFormat="false" ht="15" hidden="false" customHeight="false" outlineLevel="0" collapsed="false">
      <c r="A418" s="23"/>
      <c r="B418" s="23"/>
      <c r="C418" s="10" t="str">
        <f aca="false">IF($B418="","",IFERROR(INDEX(Inventory!$B$2:$B$381,MATCH($B418,Inventory!$A$2:$A$381,0)),"unknown ID"))</f>
        <v/>
      </c>
      <c r="D418" s="11" t="str">
        <f aca="false">IF($B418="","",IFERROR(INDEX(Inventory!$E$2:$E$381,MATCH($B418,Inventory!$A$2:$A$381,0)),""))</f>
        <v/>
      </c>
      <c r="E418" s="24"/>
      <c r="F418" s="24"/>
      <c r="G418" s="23"/>
      <c r="H418" s="23"/>
      <c r="I418" s="23"/>
      <c r="J418" s="11" t="str">
        <f aca="false">IF($B418="","",IF($H418="","Out","Returned"))</f>
        <v/>
      </c>
    </row>
    <row r="419" customFormat="false" ht="15" hidden="false" customHeight="false" outlineLevel="0" collapsed="false">
      <c r="A419" s="23"/>
      <c r="B419" s="23"/>
      <c r="C419" s="10" t="str">
        <f aca="false">IF($B419="","",IFERROR(INDEX(Inventory!$B$2:$B$381,MATCH($B419,Inventory!$A$2:$A$381,0)),"unknown ID"))</f>
        <v/>
      </c>
      <c r="D419" s="11" t="str">
        <f aca="false">IF($B419="","",IFERROR(INDEX(Inventory!$E$2:$E$381,MATCH($B419,Inventory!$A$2:$A$381,0)),""))</f>
        <v/>
      </c>
      <c r="E419" s="24"/>
      <c r="F419" s="24"/>
      <c r="G419" s="23"/>
      <c r="H419" s="23"/>
      <c r="I419" s="23"/>
      <c r="J419" s="11" t="str">
        <f aca="false">IF($B419="","",IF($H419="","Out","Returned"))</f>
        <v/>
      </c>
    </row>
    <row r="420" customFormat="false" ht="15" hidden="false" customHeight="false" outlineLevel="0" collapsed="false">
      <c r="A420" s="23"/>
      <c r="B420" s="23"/>
      <c r="C420" s="10" t="str">
        <f aca="false">IF($B420="","",IFERROR(INDEX(Inventory!$B$2:$B$381,MATCH($B420,Inventory!$A$2:$A$381,0)),"unknown ID"))</f>
        <v/>
      </c>
      <c r="D420" s="11" t="str">
        <f aca="false">IF($B420="","",IFERROR(INDEX(Inventory!$E$2:$E$381,MATCH($B420,Inventory!$A$2:$A$381,0)),""))</f>
        <v/>
      </c>
      <c r="E420" s="24"/>
      <c r="F420" s="24"/>
      <c r="G420" s="23"/>
      <c r="H420" s="23"/>
      <c r="I420" s="23"/>
      <c r="J420" s="11" t="str">
        <f aca="false">IF($B420="","",IF($H420="","Out","Returned"))</f>
        <v/>
      </c>
    </row>
    <row r="421" customFormat="false" ht="15" hidden="false" customHeight="false" outlineLevel="0" collapsed="false">
      <c r="A421" s="23"/>
      <c r="B421" s="23"/>
      <c r="C421" s="10" t="str">
        <f aca="false">IF($B421="","",IFERROR(INDEX(Inventory!$B$2:$B$381,MATCH($B421,Inventory!$A$2:$A$381,0)),"unknown ID"))</f>
        <v/>
      </c>
      <c r="D421" s="11" t="str">
        <f aca="false">IF($B421="","",IFERROR(INDEX(Inventory!$E$2:$E$381,MATCH($B421,Inventory!$A$2:$A$381,0)),""))</f>
        <v/>
      </c>
      <c r="E421" s="24"/>
      <c r="F421" s="24"/>
      <c r="G421" s="23"/>
      <c r="H421" s="23"/>
      <c r="I421" s="23"/>
      <c r="J421" s="11" t="str">
        <f aca="false">IF($B421="","",IF($H421="","Out","Returned"))</f>
        <v/>
      </c>
    </row>
    <row r="422" customFormat="false" ht="15" hidden="false" customHeight="false" outlineLevel="0" collapsed="false">
      <c r="A422" s="23"/>
      <c r="B422" s="23"/>
      <c r="C422" s="10" t="str">
        <f aca="false">IF($B422="","",IFERROR(INDEX(Inventory!$B$2:$B$381,MATCH($B422,Inventory!$A$2:$A$381,0)),"unknown ID"))</f>
        <v/>
      </c>
      <c r="D422" s="11" t="str">
        <f aca="false">IF($B422="","",IFERROR(INDEX(Inventory!$E$2:$E$381,MATCH($B422,Inventory!$A$2:$A$381,0)),""))</f>
        <v/>
      </c>
      <c r="E422" s="24"/>
      <c r="F422" s="24"/>
      <c r="G422" s="23"/>
      <c r="H422" s="23"/>
      <c r="I422" s="23"/>
      <c r="J422" s="11" t="str">
        <f aca="false">IF($B422="","",IF($H422="","Out","Returned"))</f>
        <v/>
      </c>
    </row>
    <row r="423" customFormat="false" ht="15" hidden="false" customHeight="false" outlineLevel="0" collapsed="false">
      <c r="A423" s="23"/>
      <c r="B423" s="23"/>
      <c r="C423" s="10" t="str">
        <f aca="false">IF($B423="","",IFERROR(INDEX(Inventory!$B$2:$B$381,MATCH($B423,Inventory!$A$2:$A$381,0)),"unknown ID"))</f>
        <v/>
      </c>
      <c r="D423" s="11" t="str">
        <f aca="false">IF($B423="","",IFERROR(INDEX(Inventory!$E$2:$E$381,MATCH($B423,Inventory!$A$2:$A$381,0)),""))</f>
        <v/>
      </c>
      <c r="E423" s="24"/>
      <c r="F423" s="24"/>
      <c r="G423" s="23"/>
      <c r="H423" s="23"/>
      <c r="I423" s="23"/>
      <c r="J423" s="11" t="str">
        <f aca="false">IF($B423="","",IF($H423="","Out","Returned"))</f>
        <v/>
      </c>
    </row>
    <row r="424" customFormat="false" ht="15" hidden="false" customHeight="false" outlineLevel="0" collapsed="false">
      <c r="A424" s="23"/>
      <c r="B424" s="23"/>
      <c r="C424" s="10" t="str">
        <f aca="false">IF($B424="","",IFERROR(INDEX(Inventory!$B$2:$B$381,MATCH($B424,Inventory!$A$2:$A$381,0)),"unknown ID"))</f>
        <v/>
      </c>
      <c r="D424" s="11" t="str">
        <f aca="false">IF($B424="","",IFERROR(INDEX(Inventory!$E$2:$E$381,MATCH($B424,Inventory!$A$2:$A$381,0)),""))</f>
        <v/>
      </c>
      <c r="E424" s="24"/>
      <c r="F424" s="24"/>
      <c r="G424" s="23"/>
      <c r="H424" s="23"/>
      <c r="I424" s="23"/>
      <c r="J424" s="11" t="str">
        <f aca="false">IF($B424="","",IF($H424="","Out","Returned"))</f>
        <v/>
      </c>
    </row>
    <row r="425" customFormat="false" ht="15" hidden="false" customHeight="false" outlineLevel="0" collapsed="false">
      <c r="A425" s="23"/>
      <c r="B425" s="23"/>
      <c r="C425" s="10" t="str">
        <f aca="false">IF($B425="","",IFERROR(INDEX(Inventory!$B$2:$B$381,MATCH($B425,Inventory!$A$2:$A$381,0)),"unknown ID"))</f>
        <v/>
      </c>
      <c r="D425" s="11" t="str">
        <f aca="false">IF($B425="","",IFERROR(INDEX(Inventory!$E$2:$E$381,MATCH($B425,Inventory!$A$2:$A$381,0)),""))</f>
        <v/>
      </c>
      <c r="E425" s="24"/>
      <c r="F425" s="24"/>
      <c r="G425" s="23"/>
      <c r="H425" s="23"/>
      <c r="I425" s="23"/>
      <c r="J425" s="11" t="str">
        <f aca="false">IF($B425="","",IF($H425="","Out","Returned"))</f>
        <v/>
      </c>
    </row>
    <row r="426" customFormat="false" ht="15" hidden="false" customHeight="false" outlineLevel="0" collapsed="false">
      <c r="A426" s="23"/>
      <c r="B426" s="23"/>
      <c r="C426" s="10" t="str">
        <f aca="false">IF($B426="","",IFERROR(INDEX(Inventory!$B$2:$B$381,MATCH($B426,Inventory!$A$2:$A$381,0)),"unknown ID"))</f>
        <v/>
      </c>
      <c r="D426" s="11" t="str">
        <f aca="false">IF($B426="","",IFERROR(INDEX(Inventory!$E$2:$E$381,MATCH($B426,Inventory!$A$2:$A$381,0)),""))</f>
        <v/>
      </c>
      <c r="E426" s="24"/>
      <c r="F426" s="24"/>
      <c r="G426" s="23"/>
      <c r="H426" s="23"/>
      <c r="I426" s="23"/>
      <c r="J426" s="11" t="str">
        <f aca="false">IF($B426="","",IF($H426="","Out","Returned"))</f>
        <v/>
      </c>
    </row>
    <row r="427" customFormat="false" ht="15" hidden="false" customHeight="false" outlineLevel="0" collapsed="false">
      <c r="A427" s="23"/>
      <c r="B427" s="23"/>
      <c r="C427" s="10" t="str">
        <f aca="false">IF($B427="","",IFERROR(INDEX(Inventory!$B$2:$B$381,MATCH($B427,Inventory!$A$2:$A$381,0)),"unknown ID"))</f>
        <v/>
      </c>
      <c r="D427" s="11" t="str">
        <f aca="false">IF($B427="","",IFERROR(INDEX(Inventory!$E$2:$E$381,MATCH($B427,Inventory!$A$2:$A$381,0)),""))</f>
        <v/>
      </c>
      <c r="E427" s="24"/>
      <c r="F427" s="24"/>
      <c r="G427" s="23"/>
      <c r="H427" s="23"/>
      <c r="I427" s="23"/>
      <c r="J427" s="11" t="str">
        <f aca="false">IF($B427="","",IF($H427="","Out","Returned"))</f>
        <v/>
      </c>
    </row>
    <row r="428" customFormat="false" ht="15" hidden="false" customHeight="false" outlineLevel="0" collapsed="false">
      <c r="A428" s="23"/>
      <c r="B428" s="23"/>
      <c r="C428" s="10" t="str">
        <f aca="false">IF($B428="","",IFERROR(INDEX(Inventory!$B$2:$B$381,MATCH($B428,Inventory!$A$2:$A$381,0)),"unknown ID"))</f>
        <v/>
      </c>
      <c r="D428" s="11" t="str">
        <f aca="false">IF($B428="","",IFERROR(INDEX(Inventory!$E$2:$E$381,MATCH($B428,Inventory!$A$2:$A$381,0)),""))</f>
        <v/>
      </c>
      <c r="E428" s="24"/>
      <c r="F428" s="24"/>
      <c r="G428" s="23"/>
      <c r="H428" s="23"/>
      <c r="I428" s="23"/>
      <c r="J428" s="11" t="str">
        <f aca="false">IF($B428="","",IF($H428="","Out","Returned"))</f>
        <v/>
      </c>
    </row>
    <row r="429" customFormat="false" ht="15" hidden="false" customHeight="false" outlineLevel="0" collapsed="false">
      <c r="A429" s="23"/>
      <c r="B429" s="23"/>
      <c r="C429" s="10" t="str">
        <f aca="false">IF($B429="","",IFERROR(INDEX(Inventory!$B$2:$B$381,MATCH($B429,Inventory!$A$2:$A$381,0)),"unknown ID"))</f>
        <v/>
      </c>
      <c r="D429" s="11" t="str">
        <f aca="false">IF($B429="","",IFERROR(INDEX(Inventory!$E$2:$E$381,MATCH($B429,Inventory!$A$2:$A$381,0)),""))</f>
        <v/>
      </c>
      <c r="E429" s="24"/>
      <c r="F429" s="24"/>
      <c r="G429" s="23"/>
      <c r="H429" s="23"/>
      <c r="I429" s="23"/>
      <c r="J429" s="11" t="str">
        <f aca="false">IF($B429="","",IF($H429="","Out","Returned"))</f>
        <v/>
      </c>
    </row>
    <row r="430" customFormat="false" ht="15" hidden="false" customHeight="false" outlineLevel="0" collapsed="false">
      <c r="A430" s="23"/>
      <c r="B430" s="23"/>
      <c r="C430" s="10" t="str">
        <f aca="false">IF($B430="","",IFERROR(INDEX(Inventory!$B$2:$B$381,MATCH($B430,Inventory!$A$2:$A$381,0)),"unknown ID"))</f>
        <v/>
      </c>
      <c r="D430" s="11" t="str">
        <f aca="false">IF($B430="","",IFERROR(INDEX(Inventory!$E$2:$E$381,MATCH($B430,Inventory!$A$2:$A$381,0)),""))</f>
        <v/>
      </c>
      <c r="E430" s="24"/>
      <c r="F430" s="24"/>
      <c r="G430" s="23"/>
      <c r="H430" s="23"/>
      <c r="I430" s="23"/>
      <c r="J430" s="11" t="str">
        <f aca="false">IF($B430="","",IF($H430="","Out","Returned"))</f>
        <v/>
      </c>
    </row>
    <row r="431" customFormat="false" ht="15" hidden="false" customHeight="false" outlineLevel="0" collapsed="false">
      <c r="A431" s="23"/>
      <c r="B431" s="23"/>
      <c r="C431" s="10" t="str">
        <f aca="false">IF($B431="","",IFERROR(INDEX(Inventory!$B$2:$B$381,MATCH($B431,Inventory!$A$2:$A$381,0)),"unknown ID"))</f>
        <v/>
      </c>
      <c r="D431" s="11" t="str">
        <f aca="false">IF($B431="","",IFERROR(INDEX(Inventory!$E$2:$E$381,MATCH($B431,Inventory!$A$2:$A$381,0)),""))</f>
        <v/>
      </c>
      <c r="E431" s="24"/>
      <c r="F431" s="24"/>
      <c r="G431" s="23"/>
      <c r="H431" s="23"/>
      <c r="I431" s="23"/>
      <c r="J431" s="11" t="str">
        <f aca="false">IF($B431="","",IF($H431="","Out","Returned"))</f>
        <v/>
      </c>
    </row>
    <row r="432" customFormat="false" ht="15" hidden="false" customHeight="false" outlineLevel="0" collapsed="false">
      <c r="A432" s="23"/>
      <c r="B432" s="23"/>
      <c r="C432" s="10" t="str">
        <f aca="false">IF($B432="","",IFERROR(INDEX(Inventory!$B$2:$B$381,MATCH($B432,Inventory!$A$2:$A$381,0)),"unknown ID"))</f>
        <v/>
      </c>
      <c r="D432" s="11" t="str">
        <f aca="false">IF($B432="","",IFERROR(INDEX(Inventory!$E$2:$E$381,MATCH($B432,Inventory!$A$2:$A$381,0)),""))</f>
        <v/>
      </c>
      <c r="E432" s="24"/>
      <c r="F432" s="24"/>
      <c r="G432" s="23"/>
      <c r="H432" s="23"/>
      <c r="I432" s="23"/>
      <c r="J432" s="11" t="str">
        <f aca="false">IF($B432="","",IF($H432="","Out","Returned"))</f>
        <v/>
      </c>
    </row>
    <row r="433" customFormat="false" ht="15" hidden="false" customHeight="false" outlineLevel="0" collapsed="false">
      <c r="A433" s="23"/>
      <c r="B433" s="23"/>
      <c r="C433" s="10" t="str">
        <f aca="false">IF($B433="","",IFERROR(INDEX(Inventory!$B$2:$B$381,MATCH($B433,Inventory!$A$2:$A$381,0)),"unknown ID"))</f>
        <v/>
      </c>
      <c r="D433" s="11" t="str">
        <f aca="false">IF($B433="","",IFERROR(INDEX(Inventory!$E$2:$E$381,MATCH($B433,Inventory!$A$2:$A$381,0)),""))</f>
        <v/>
      </c>
      <c r="E433" s="24"/>
      <c r="F433" s="24"/>
      <c r="G433" s="23"/>
      <c r="H433" s="23"/>
      <c r="I433" s="23"/>
      <c r="J433" s="11" t="str">
        <f aca="false">IF($B433="","",IF($H433="","Out","Returned"))</f>
        <v/>
      </c>
    </row>
    <row r="434" customFormat="false" ht="15" hidden="false" customHeight="false" outlineLevel="0" collapsed="false">
      <c r="A434" s="23"/>
      <c r="B434" s="23"/>
      <c r="C434" s="10" t="str">
        <f aca="false">IF($B434="","",IFERROR(INDEX(Inventory!$B$2:$B$381,MATCH($B434,Inventory!$A$2:$A$381,0)),"unknown ID"))</f>
        <v/>
      </c>
      <c r="D434" s="11" t="str">
        <f aca="false">IF($B434="","",IFERROR(INDEX(Inventory!$E$2:$E$381,MATCH($B434,Inventory!$A$2:$A$381,0)),""))</f>
        <v/>
      </c>
      <c r="E434" s="24"/>
      <c r="F434" s="24"/>
      <c r="G434" s="23"/>
      <c r="H434" s="23"/>
      <c r="I434" s="23"/>
      <c r="J434" s="11" t="str">
        <f aca="false">IF($B434="","",IF($H434="","Out","Returned"))</f>
        <v/>
      </c>
    </row>
    <row r="435" customFormat="false" ht="15" hidden="false" customHeight="false" outlineLevel="0" collapsed="false">
      <c r="A435" s="23"/>
      <c r="B435" s="23"/>
      <c r="C435" s="10" t="str">
        <f aca="false">IF($B435="","",IFERROR(INDEX(Inventory!$B$2:$B$381,MATCH($B435,Inventory!$A$2:$A$381,0)),"unknown ID"))</f>
        <v/>
      </c>
      <c r="D435" s="11" t="str">
        <f aca="false">IF($B435="","",IFERROR(INDEX(Inventory!$E$2:$E$381,MATCH($B435,Inventory!$A$2:$A$381,0)),""))</f>
        <v/>
      </c>
      <c r="E435" s="24"/>
      <c r="F435" s="24"/>
      <c r="G435" s="23"/>
      <c r="H435" s="23"/>
      <c r="I435" s="23"/>
      <c r="J435" s="11" t="str">
        <f aca="false">IF($B435="","",IF($H435="","Out","Returned"))</f>
        <v/>
      </c>
    </row>
    <row r="436" customFormat="false" ht="15" hidden="false" customHeight="false" outlineLevel="0" collapsed="false">
      <c r="A436" s="23"/>
      <c r="B436" s="23"/>
      <c r="C436" s="10" t="str">
        <f aca="false">IF($B436="","",IFERROR(INDEX(Inventory!$B$2:$B$381,MATCH($B436,Inventory!$A$2:$A$381,0)),"unknown ID"))</f>
        <v/>
      </c>
      <c r="D436" s="11" t="str">
        <f aca="false">IF($B436="","",IFERROR(INDEX(Inventory!$E$2:$E$381,MATCH($B436,Inventory!$A$2:$A$381,0)),""))</f>
        <v/>
      </c>
      <c r="E436" s="24"/>
      <c r="F436" s="24"/>
      <c r="G436" s="23"/>
      <c r="H436" s="23"/>
      <c r="I436" s="23"/>
      <c r="J436" s="11" t="str">
        <f aca="false">IF($B436="","",IF($H436="","Out","Returned"))</f>
        <v/>
      </c>
    </row>
    <row r="437" customFormat="false" ht="15" hidden="false" customHeight="false" outlineLevel="0" collapsed="false">
      <c r="A437" s="23"/>
      <c r="B437" s="23"/>
      <c r="C437" s="10" t="str">
        <f aca="false">IF($B437="","",IFERROR(INDEX(Inventory!$B$2:$B$381,MATCH($B437,Inventory!$A$2:$A$381,0)),"unknown ID"))</f>
        <v/>
      </c>
      <c r="D437" s="11" t="str">
        <f aca="false">IF($B437="","",IFERROR(INDEX(Inventory!$E$2:$E$381,MATCH($B437,Inventory!$A$2:$A$381,0)),""))</f>
        <v/>
      </c>
      <c r="E437" s="24"/>
      <c r="F437" s="24"/>
      <c r="G437" s="23"/>
      <c r="H437" s="23"/>
      <c r="I437" s="23"/>
      <c r="J437" s="11" t="str">
        <f aca="false">IF($B437="","",IF($H437="","Out","Returned"))</f>
        <v/>
      </c>
    </row>
    <row r="438" customFormat="false" ht="15" hidden="false" customHeight="false" outlineLevel="0" collapsed="false">
      <c r="A438" s="23"/>
      <c r="B438" s="23"/>
      <c r="C438" s="10" t="str">
        <f aca="false">IF($B438="","",IFERROR(INDEX(Inventory!$B$2:$B$381,MATCH($B438,Inventory!$A$2:$A$381,0)),"unknown ID"))</f>
        <v/>
      </c>
      <c r="D438" s="11" t="str">
        <f aca="false">IF($B438="","",IFERROR(INDEX(Inventory!$E$2:$E$381,MATCH($B438,Inventory!$A$2:$A$381,0)),""))</f>
        <v/>
      </c>
      <c r="E438" s="24"/>
      <c r="F438" s="24"/>
      <c r="G438" s="23"/>
      <c r="H438" s="23"/>
      <c r="I438" s="23"/>
      <c r="J438" s="11" t="str">
        <f aca="false">IF($B438="","",IF($H438="","Out","Returned"))</f>
        <v/>
      </c>
    </row>
    <row r="439" customFormat="false" ht="15" hidden="false" customHeight="false" outlineLevel="0" collapsed="false">
      <c r="A439" s="23"/>
      <c r="B439" s="23"/>
      <c r="C439" s="10" t="str">
        <f aca="false">IF($B439="","",IFERROR(INDEX(Inventory!$B$2:$B$381,MATCH($B439,Inventory!$A$2:$A$381,0)),"unknown ID"))</f>
        <v/>
      </c>
      <c r="D439" s="11" t="str">
        <f aca="false">IF($B439="","",IFERROR(INDEX(Inventory!$E$2:$E$381,MATCH($B439,Inventory!$A$2:$A$381,0)),""))</f>
        <v/>
      </c>
      <c r="E439" s="24"/>
      <c r="F439" s="24"/>
      <c r="G439" s="23"/>
      <c r="H439" s="23"/>
      <c r="I439" s="23"/>
      <c r="J439" s="11" t="str">
        <f aca="false">IF($B439="","",IF($H439="","Out","Returned"))</f>
        <v/>
      </c>
    </row>
    <row r="440" customFormat="false" ht="15" hidden="false" customHeight="false" outlineLevel="0" collapsed="false">
      <c r="A440" s="23"/>
      <c r="B440" s="23"/>
      <c r="C440" s="10" t="str">
        <f aca="false">IF($B440="","",IFERROR(INDEX(Inventory!$B$2:$B$381,MATCH($B440,Inventory!$A$2:$A$381,0)),"unknown ID"))</f>
        <v/>
      </c>
      <c r="D440" s="11" t="str">
        <f aca="false">IF($B440="","",IFERROR(INDEX(Inventory!$E$2:$E$381,MATCH($B440,Inventory!$A$2:$A$381,0)),""))</f>
        <v/>
      </c>
      <c r="E440" s="24"/>
      <c r="F440" s="24"/>
      <c r="G440" s="23"/>
      <c r="H440" s="23"/>
      <c r="I440" s="23"/>
      <c r="J440" s="11" t="str">
        <f aca="false">IF($B440="","",IF($H440="","Out","Returned"))</f>
        <v/>
      </c>
    </row>
    <row r="441" customFormat="false" ht="15" hidden="false" customHeight="false" outlineLevel="0" collapsed="false">
      <c r="A441" s="23"/>
      <c r="B441" s="23"/>
      <c r="C441" s="10" t="str">
        <f aca="false">IF($B441="","",IFERROR(INDEX(Inventory!$B$2:$B$381,MATCH($B441,Inventory!$A$2:$A$381,0)),"unknown ID"))</f>
        <v/>
      </c>
      <c r="D441" s="11" t="str">
        <f aca="false">IF($B441="","",IFERROR(INDEX(Inventory!$E$2:$E$381,MATCH($B441,Inventory!$A$2:$A$381,0)),""))</f>
        <v/>
      </c>
      <c r="E441" s="24"/>
      <c r="F441" s="24"/>
      <c r="G441" s="23"/>
      <c r="H441" s="23"/>
      <c r="I441" s="23"/>
      <c r="J441" s="11" t="str">
        <f aca="false">IF($B441="","",IF($H441="","Out","Returned"))</f>
        <v/>
      </c>
    </row>
    <row r="442" customFormat="false" ht="15" hidden="false" customHeight="false" outlineLevel="0" collapsed="false">
      <c r="A442" s="23"/>
      <c r="B442" s="23"/>
      <c r="C442" s="10" t="str">
        <f aca="false">IF($B442="","",IFERROR(INDEX(Inventory!$B$2:$B$381,MATCH($B442,Inventory!$A$2:$A$381,0)),"unknown ID"))</f>
        <v/>
      </c>
      <c r="D442" s="11" t="str">
        <f aca="false">IF($B442="","",IFERROR(INDEX(Inventory!$E$2:$E$381,MATCH($B442,Inventory!$A$2:$A$381,0)),""))</f>
        <v/>
      </c>
      <c r="E442" s="24"/>
      <c r="F442" s="24"/>
      <c r="G442" s="23"/>
      <c r="H442" s="23"/>
      <c r="I442" s="23"/>
      <c r="J442" s="11" t="str">
        <f aca="false">IF($B442="","",IF($H442="","Out","Returned"))</f>
        <v/>
      </c>
    </row>
    <row r="443" customFormat="false" ht="15" hidden="false" customHeight="false" outlineLevel="0" collapsed="false">
      <c r="A443" s="23"/>
      <c r="B443" s="23"/>
      <c r="C443" s="10" t="str">
        <f aca="false">IF($B443="","",IFERROR(INDEX(Inventory!$B$2:$B$381,MATCH($B443,Inventory!$A$2:$A$381,0)),"unknown ID"))</f>
        <v/>
      </c>
      <c r="D443" s="11" t="str">
        <f aca="false">IF($B443="","",IFERROR(INDEX(Inventory!$E$2:$E$381,MATCH($B443,Inventory!$A$2:$A$381,0)),""))</f>
        <v/>
      </c>
      <c r="E443" s="24"/>
      <c r="F443" s="24"/>
      <c r="G443" s="23"/>
      <c r="H443" s="23"/>
      <c r="I443" s="23"/>
      <c r="J443" s="11" t="str">
        <f aca="false">IF($B443="","",IF($H443="","Out","Returned"))</f>
        <v/>
      </c>
    </row>
    <row r="444" customFormat="false" ht="15" hidden="false" customHeight="false" outlineLevel="0" collapsed="false">
      <c r="A444" s="23"/>
      <c r="B444" s="23"/>
      <c r="C444" s="10" t="str">
        <f aca="false">IF($B444="","",IFERROR(INDEX(Inventory!$B$2:$B$381,MATCH($B444,Inventory!$A$2:$A$381,0)),"unknown ID"))</f>
        <v/>
      </c>
      <c r="D444" s="11" t="str">
        <f aca="false">IF($B444="","",IFERROR(INDEX(Inventory!$E$2:$E$381,MATCH($B444,Inventory!$A$2:$A$381,0)),""))</f>
        <v/>
      </c>
      <c r="E444" s="24"/>
      <c r="F444" s="24"/>
      <c r="G444" s="23"/>
      <c r="H444" s="23"/>
      <c r="I444" s="23"/>
      <c r="J444" s="11" t="str">
        <f aca="false">IF($B444="","",IF($H444="","Out","Returned"))</f>
        <v/>
      </c>
    </row>
    <row r="445" customFormat="false" ht="15" hidden="false" customHeight="false" outlineLevel="0" collapsed="false">
      <c r="A445" s="23"/>
      <c r="B445" s="23"/>
      <c r="C445" s="10" t="str">
        <f aca="false">IF($B445="","",IFERROR(INDEX(Inventory!$B$2:$B$381,MATCH($B445,Inventory!$A$2:$A$381,0)),"unknown ID"))</f>
        <v/>
      </c>
      <c r="D445" s="11" t="str">
        <f aca="false">IF($B445="","",IFERROR(INDEX(Inventory!$E$2:$E$381,MATCH($B445,Inventory!$A$2:$A$381,0)),""))</f>
        <v/>
      </c>
      <c r="E445" s="24"/>
      <c r="F445" s="24"/>
      <c r="G445" s="23"/>
      <c r="H445" s="23"/>
      <c r="I445" s="23"/>
      <c r="J445" s="11" t="str">
        <f aca="false">IF($B445="","",IF($H445="","Out","Returned"))</f>
        <v/>
      </c>
    </row>
    <row r="446" customFormat="false" ht="15" hidden="false" customHeight="false" outlineLevel="0" collapsed="false">
      <c r="A446" s="23"/>
      <c r="B446" s="23"/>
      <c r="C446" s="10" t="str">
        <f aca="false">IF($B446="","",IFERROR(INDEX(Inventory!$B$2:$B$381,MATCH($B446,Inventory!$A$2:$A$381,0)),"unknown ID"))</f>
        <v/>
      </c>
      <c r="D446" s="11" t="str">
        <f aca="false">IF($B446="","",IFERROR(INDEX(Inventory!$E$2:$E$381,MATCH($B446,Inventory!$A$2:$A$381,0)),""))</f>
        <v/>
      </c>
      <c r="E446" s="24"/>
      <c r="F446" s="24"/>
      <c r="G446" s="23"/>
      <c r="H446" s="23"/>
      <c r="I446" s="23"/>
      <c r="J446" s="11" t="str">
        <f aca="false">IF($B446="","",IF($H446="","Out","Returned"))</f>
        <v/>
      </c>
    </row>
    <row r="447" customFormat="false" ht="15" hidden="false" customHeight="false" outlineLevel="0" collapsed="false">
      <c r="A447" s="23"/>
      <c r="B447" s="23"/>
      <c r="C447" s="10" t="str">
        <f aca="false">IF($B447="","",IFERROR(INDEX(Inventory!$B$2:$B$381,MATCH($B447,Inventory!$A$2:$A$381,0)),"unknown ID"))</f>
        <v/>
      </c>
      <c r="D447" s="11" t="str">
        <f aca="false">IF($B447="","",IFERROR(INDEX(Inventory!$E$2:$E$381,MATCH($B447,Inventory!$A$2:$A$381,0)),""))</f>
        <v/>
      </c>
      <c r="E447" s="24"/>
      <c r="F447" s="24"/>
      <c r="G447" s="23"/>
      <c r="H447" s="23"/>
      <c r="I447" s="23"/>
      <c r="J447" s="11" t="str">
        <f aca="false">IF($B447="","",IF($H447="","Out","Returned"))</f>
        <v/>
      </c>
    </row>
    <row r="448" customFormat="false" ht="15" hidden="false" customHeight="false" outlineLevel="0" collapsed="false">
      <c r="A448" s="23"/>
      <c r="B448" s="23"/>
      <c r="C448" s="10" t="str">
        <f aca="false">IF($B448="","",IFERROR(INDEX(Inventory!$B$2:$B$381,MATCH($B448,Inventory!$A$2:$A$381,0)),"unknown ID"))</f>
        <v/>
      </c>
      <c r="D448" s="11" t="str">
        <f aca="false">IF($B448="","",IFERROR(INDEX(Inventory!$E$2:$E$381,MATCH($B448,Inventory!$A$2:$A$381,0)),""))</f>
        <v/>
      </c>
      <c r="E448" s="24"/>
      <c r="F448" s="24"/>
      <c r="G448" s="23"/>
      <c r="H448" s="23"/>
      <c r="I448" s="23"/>
      <c r="J448" s="11" t="str">
        <f aca="false">IF($B448="","",IF($H448="","Out","Returned"))</f>
        <v/>
      </c>
    </row>
    <row r="449" customFormat="false" ht="15" hidden="false" customHeight="false" outlineLevel="0" collapsed="false">
      <c r="A449" s="23"/>
      <c r="B449" s="23"/>
      <c r="C449" s="10" t="str">
        <f aca="false">IF($B449="","",IFERROR(INDEX(Inventory!$B$2:$B$381,MATCH($B449,Inventory!$A$2:$A$381,0)),"unknown ID"))</f>
        <v/>
      </c>
      <c r="D449" s="11" t="str">
        <f aca="false">IF($B449="","",IFERROR(INDEX(Inventory!$E$2:$E$381,MATCH($B449,Inventory!$A$2:$A$381,0)),""))</f>
        <v/>
      </c>
      <c r="E449" s="24"/>
      <c r="F449" s="24"/>
      <c r="G449" s="23"/>
      <c r="H449" s="23"/>
      <c r="I449" s="23"/>
      <c r="J449" s="11" t="str">
        <f aca="false">IF($B449="","",IF($H449="","Out","Returned"))</f>
        <v/>
      </c>
    </row>
    <row r="450" customFormat="false" ht="15" hidden="false" customHeight="false" outlineLevel="0" collapsed="false">
      <c r="A450" s="23"/>
      <c r="B450" s="23"/>
      <c r="C450" s="10" t="str">
        <f aca="false">IF($B450="","",IFERROR(INDEX(Inventory!$B$2:$B$381,MATCH($B450,Inventory!$A$2:$A$381,0)),"unknown ID"))</f>
        <v/>
      </c>
      <c r="D450" s="11" t="str">
        <f aca="false">IF($B450="","",IFERROR(INDEX(Inventory!$E$2:$E$381,MATCH($B450,Inventory!$A$2:$A$381,0)),""))</f>
        <v/>
      </c>
      <c r="E450" s="24"/>
      <c r="F450" s="24"/>
      <c r="G450" s="23"/>
      <c r="H450" s="23"/>
      <c r="I450" s="23"/>
      <c r="J450" s="11" t="str">
        <f aca="false">IF($B450="","",IF($H450="","Out","Returned"))</f>
        <v/>
      </c>
    </row>
    <row r="451" customFormat="false" ht="15" hidden="false" customHeight="false" outlineLevel="0" collapsed="false">
      <c r="A451" s="23"/>
      <c r="B451" s="23"/>
      <c r="C451" s="10" t="str">
        <f aca="false">IF($B451="","",IFERROR(INDEX(Inventory!$B$2:$B$381,MATCH($B451,Inventory!$A$2:$A$381,0)),"unknown ID"))</f>
        <v/>
      </c>
      <c r="D451" s="11" t="str">
        <f aca="false">IF($B451="","",IFERROR(INDEX(Inventory!$E$2:$E$381,MATCH($B451,Inventory!$A$2:$A$381,0)),""))</f>
        <v/>
      </c>
      <c r="E451" s="24"/>
      <c r="F451" s="24"/>
      <c r="G451" s="23"/>
      <c r="H451" s="23"/>
      <c r="I451" s="23"/>
      <c r="J451" s="11" t="str">
        <f aca="false">IF($B451="","",IF($H451="","Out","Returned"))</f>
        <v/>
      </c>
    </row>
    <row r="452" customFormat="false" ht="15" hidden="false" customHeight="false" outlineLevel="0" collapsed="false">
      <c r="A452" s="23"/>
      <c r="B452" s="23"/>
      <c r="C452" s="10" t="str">
        <f aca="false">IF($B452="","",IFERROR(INDEX(Inventory!$B$2:$B$381,MATCH($B452,Inventory!$A$2:$A$381,0)),"unknown ID"))</f>
        <v/>
      </c>
      <c r="D452" s="11" t="str">
        <f aca="false">IF($B452="","",IFERROR(INDEX(Inventory!$E$2:$E$381,MATCH($B452,Inventory!$A$2:$A$381,0)),""))</f>
        <v/>
      </c>
      <c r="E452" s="24"/>
      <c r="F452" s="24"/>
      <c r="G452" s="23"/>
      <c r="H452" s="23"/>
      <c r="I452" s="23"/>
      <c r="J452" s="11" t="str">
        <f aca="false">IF($B452="","",IF($H452="","Out","Returned"))</f>
        <v/>
      </c>
    </row>
    <row r="453" customFormat="false" ht="15" hidden="false" customHeight="false" outlineLevel="0" collapsed="false">
      <c r="A453" s="23"/>
      <c r="B453" s="23"/>
      <c r="C453" s="10" t="str">
        <f aca="false">IF($B453="","",IFERROR(INDEX(Inventory!$B$2:$B$381,MATCH($B453,Inventory!$A$2:$A$381,0)),"unknown ID"))</f>
        <v/>
      </c>
      <c r="D453" s="11" t="str">
        <f aca="false">IF($B453="","",IFERROR(INDEX(Inventory!$E$2:$E$381,MATCH($B453,Inventory!$A$2:$A$381,0)),""))</f>
        <v/>
      </c>
      <c r="E453" s="24"/>
      <c r="F453" s="24"/>
      <c r="G453" s="23"/>
      <c r="H453" s="23"/>
      <c r="I453" s="23"/>
      <c r="J453" s="11" t="str">
        <f aca="false">IF($B453="","",IF($H453="","Out","Returned"))</f>
        <v/>
      </c>
    </row>
    <row r="454" customFormat="false" ht="15" hidden="false" customHeight="false" outlineLevel="0" collapsed="false">
      <c r="A454" s="23"/>
      <c r="B454" s="23"/>
      <c r="C454" s="10" t="str">
        <f aca="false">IF($B454="","",IFERROR(INDEX(Inventory!$B$2:$B$381,MATCH($B454,Inventory!$A$2:$A$381,0)),"unknown ID"))</f>
        <v/>
      </c>
      <c r="D454" s="11" t="str">
        <f aca="false">IF($B454="","",IFERROR(INDEX(Inventory!$E$2:$E$381,MATCH($B454,Inventory!$A$2:$A$381,0)),""))</f>
        <v/>
      </c>
      <c r="E454" s="24"/>
      <c r="F454" s="24"/>
      <c r="G454" s="23"/>
      <c r="H454" s="23"/>
      <c r="I454" s="23"/>
      <c r="J454" s="11" t="str">
        <f aca="false">IF($B454="","",IF($H454="","Out","Returned"))</f>
        <v/>
      </c>
    </row>
    <row r="455" customFormat="false" ht="15" hidden="false" customHeight="false" outlineLevel="0" collapsed="false">
      <c r="A455" s="23"/>
      <c r="B455" s="23"/>
      <c r="C455" s="10" t="str">
        <f aca="false">IF($B455="","",IFERROR(INDEX(Inventory!$B$2:$B$381,MATCH($B455,Inventory!$A$2:$A$381,0)),"unknown ID"))</f>
        <v/>
      </c>
      <c r="D455" s="11" t="str">
        <f aca="false">IF($B455="","",IFERROR(INDEX(Inventory!$E$2:$E$381,MATCH($B455,Inventory!$A$2:$A$381,0)),""))</f>
        <v/>
      </c>
      <c r="E455" s="24"/>
      <c r="F455" s="24"/>
      <c r="G455" s="23"/>
      <c r="H455" s="23"/>
      <c r="I455" s="23"/>
      <c r="J455" s="11" t="str">
        <f aca="false">IF($B455="","",IF($H455="","Out","Returned"))</f>
        <v/>
      </c>
    </row>
    <row r="456" customFormat="false" ht="15" hidden="false" customHeight="false" outlineLevel="0" collapsed="false">
      <c r="A456" s="23"/>
      <c r="B456" s="23"/>
      <c r="C456" s="10" t="str">
        <f aca="false">IF($B456="","",IFERROR(INDEX(Inventory!$B$2:$B$381,MATCH($B456,Inventory!$A$2:$A$381,0)),"unknown ID"))</f>
        <v/>
      </c>
      <c r="D456" s="11" t="str">
        <f aca="false">IF($B456="","",IFERROR(INDEX(Inventory!$E$2:$E$381,MATCH($B456,Inventory!$A$2:$A$381,0)),""))</f>
        <v/>
      </c>
      <c r="E456" s="24"/>
      <c r="F456" s="24"/>
      <c r="G456" s="23"/>
      <c r="H456" s="23"/>
      <c r="I456" s="23"/>
      <c r="J456" s="11" t="str">
        <f aca="false">IF($B456="","",IF($H456="","Out","Returned"))</f>
        <v/>
      </c>
    </row>
    <row r="457" customFormat="false" ht="15" hidden="false" customHeight="false" outlineLevel="0" collapsed="false">
      <c r="A457" s="23"/>
      <c r="B457" s="23"/>
      <c r="C457" s="10" t="str">
        <f aca="false">IF($B457="","",IFERROR(INDEX(Inventory!$B$2:$B$381,MATCH($B457,Inventory!$A$2:$A$381,0)),"unknown ID"))</f>
        <v/>
      </c>
      <c r="D457" s="11" t="str">
        <f aca="false">IF($B457="","",IFERROR(INDEX(Inventory!$E$2:$E$381,MATCH($B457,Inventory!$A$2:$A$381,0)),""))</f>
        <v/>
      </c>
      <c r="E457" s="24"/>
      <c r="F457" s="24"/>
      <c r="G457" s="23"/>
      <c r="H457" s="23"/>
      <c r="I457" s="23"/>
      <c r="J457" s="11" t="str">
        <f aca="false">IF($B457="","",IF($H457="","Out","Returned"))</f>
        <v/>
      </c>
    </row>
    <row r="458" customFormat="false" ht="15" hidden="false" customHeight="false" outlineLevel="0" collapsed="false">
      <c r="A458" s="23"/>
      <c r="B458" s="23"/>
      <c r="C458" s="10" t="str">
        <f aca="false">IF($B458="","",IFERROR(INDEX(Inventory!$B$2:$B$381,MATCH($B458,Inventory!$A$2:$A$381,0)),"unknown ID"))</f>
        <v/>
      </c>
      <c r="D458" s="11" t="str">
        <f aca="false">IF($B458="","",IFERROR(INDEX(Inventory!$E$2:$E$381,MATCH($B458,Inventory!$A$2:$A$381,0)),""))</f>
        <v/>
      </c>
      <c r="E458" s="24"/>
      <c r="F458" s="24"/>
      <c r="G458" s="23"/>
      <c r="H458" s="23"/>
      <c r="I458" s="23"/>
      <c r="J458" s="11" t="str">
        <f aca="false">IF($B458="","",IF($H458="","Out","Returned"))</f>
        <v/>
      </c>
    </row>
    <row r="459" customFormat="false" ht="15" hidden="false" customHeight="false" outlineLevel="0" collapsed="false">
      <c r="A459" s="23"/>
      <c r="B459" s="23"/>
      <c r="C459" s="10" t="str">
        <f aca="false">IF($B459="","",IFERROR(INDEX(Inventory!$B$2:$B$381,MATCH($B459,Inventory!$A$2:$A$381,0)),"unknown ID"))</f>
        <v/>
      </c>
      <c r="D459" s="11" t="str">
        <f aca="false">IF($B459="","",IFERROR(INDEX(Inventory!$E$2:$E$381,MATCH($B459,Inventory!$A$2:$A$381,0)),""))</f>
        <v/>
      </c>
      <c r="E459" s="24"/>
      <c r="F459" s="24"/>
      <c r="G459" s="23"/>
      <c r="H459" s="23"/>
      <c r="I459" s="23"/>
      <c r="J459" s="11" t="str">
        <f aca="false">IF($B459="","",IF($H459="","Out","Returned"))</f>
        <v/>
      </c>
    </row>
    <row r="460" customFormat="false" ht="15" hidden="false" customHeight="false" outlineLevel="0" collapsed="false">
      <c r="A460" s="23"/>
      <c r="B460" s="23"/>
      <c r="C460" s="10" t="str">
        <f aca="false">IF($B460="","",IFERROR(INDEX(Inventory!$B$2:$B$381,MATCH($B460,Inventory!$A$2:$A$381,0)),"unknown ID"))</f>
        <v/>
      </c>
      <c r="D460" s="11" t="str">
        <f aca="false">IF($B460="","",IFERROR(INDEX(Inventory!$E$2:$E$381,MATCH($B460,Inventory!$A$2:$A$381,0)),""))</f>
        <v/>
      </c>
      <c r="E460" s="24"/>
      <c r="F460" s="24"/>
      <c r="G460" s="23"/>
      <c r="H460" s="23"/>
      <c r="I460" s="23"/>
      <c r="J460" s="11" t="str">
        <f aca="false">IF($B460="","",IF($H460="","Out","Returned"))</f>
        <v/>
      </c>
    </row>
    <row r="461" customFormat="false" ht="15" hidden="false" customHeight="false" outlineLevel="0" collapsed="false">
      <c r="A461" s="23"/>
      <c r="B461" s="23"/>
      <c r="C461" s="10" t="str">
        <f aca="false">IF($B461="","",IFERROR(INDEX(Inventory!$B$2:$B$381,MATCH($B461,Inventory!$A$2:$A$381,0)),"unknown ID"))</f>
        <v/>
      </c>
      <c r="D461" s="11" t="str">
        <f aca="false">IF($B461="","",IFERROR(INDEX(Inventory!$E$2:$E$381,MATCH($B461,Inventory!$A$2:$A$381,0)),""))</f>
        <v/>
      </c>
      <c r="E461" s="24"/>
      <c r="F461" s="24"/>
      <c r="G461" s="23"/>
      <c r="H461" s="23"/>
      <c r="I461" s="23"/>
      <c r="J461" s="11" t="str">
        <f aca="false">IF($B461="","",IF($H461="","Out","Returned"))</f>
        <v/>
      </c>
    </row>
    <row r="462" customFormat="false" ht="15" hidden="false" customHeight="false" outlineLevel="0" collapsed="false">
      <c r="A462" s="23"/>
      <c r="B462" s="23"/>
      <c r="C462" s="10" t="str">
        <f aca="false">IF($B462="","",IFERROR(INDEX(Inventory!$B$2:$B$381,MATCH($B462,Inventory!$A$2:$A$381,0)),"unknown ID"))</f>
        <v/>
      </c>
      <c r="D462" s="11" t="str">
        <f aca="false">IF($B462="","",IFERROR(INDEX(Inventory!$E$2:$E$381,MATCH($B462,Inventory!$A$2:$A$381,0)),""))</f>
        <v/>
      </c>
      <c r="E462" s="24"/>
      <c r="F462" s="24"/>
      <c r="G462" s="23"/>
      <c r="H462" s="23"/>
      <c r="I462" s="23"/>
      <c r="J462" s="11" t="str">
        <f aca="false">IF($B462="","",IF($H462="","Out","Returned"))</f>
        <v/>
      </c>
    </row>
    <row r="463" customFormat="false" ht="15" hidden="false" customHeight="false" outlineLevel="0" collapsed="false">
      <c r="A463" s="23"/>
      <c r="B463" s="23"/>
      <c r="C463" s="10" t="str">
        <f aca="false">IF($B463="","",IFERROR(INDEX(Inventory!$B$2:$B$381,MATCH($B463,Inventory!$A$2:$A$381,0)),"unknown ID"))</f>
        <v/>
      </c>
      <c r="D463" s="11" t="str">
        <f aca="false">IF($B463="","",IFERROR(INDEX(Inventory!$E$2:$E$381,MATCH($B463,Inventory!$A$2:$A$381,0)),""))</f>
        <v/>
      </c>
      <c r="E463" s="24"/>
      <c r="F463" s="24"/>
      <c r="G463" s="23"/>
      <c r="H463" s="23"/>
      <c r="I463" s="23"/>
      <c r="J463" s="11" t="str">
        <f aca="false">IF($B463="","",IF($H463="","Out","Returned"))</f>
        <v/>
      </c>
    </row>
    <row r="464" customFormat="false" ht="15" hidden="false" customHeight="false" outlineLevel="0" collapsed="false">
      <c r="A464" s="23"/>
      <c r="B464" s="23"/>
      <c r="C464" s="10" t="str">
        <f aca="false">IF($B464="","",IFERROR(INDEX(Inventory!$B$2:$B$381,MATCH($B464,Inventory!$A$2:$A$381,0)),"unknown ID"))</f>
        <v/>
      </c>
      <c r="D464" s="11" t="str">
        <f aca="false">IF($B464="","",IFERROR(INDEX(Inventory!$E$2:$E$381,MATCH($B464,Inventory!$A$2:$A$381,0)),""))</f>
        <v/>
      </c>
      <c r="E464" s="24"/>
      <c r="F464" s="24"/>
      <c r="G464" s="23"/>
      <c r="H464" s="23"/>
      <c r="I464" s="23"/>
      <c r="J464" s="11" t="str">
        <f aca="false">IF($B464="","",IF($H464="","Out","Returned"))</f>
        <v/>
      </c>
    </row>
    <row r="465" customFormat="false" ht="15" hidden="false" customHeight="false" outlineLevel="0" collapsed="false">
      <c r="A465" s="23"/>
      <c r="B465" s="23"/>
      <c r="C465" s="10" t="str">
        <f aca="false">IF($B465="","",IFERROR(INDEX(Inventory!$B$2:$B$381,MATCH($B465,Inventory!$A$2:$A$381,0)),"unknown ID"))</f>
        <v/>
      </c>
      <c r="D465" s="11" t="str">
        <f aca="false">IF($B465="","",IFERROR(INDEX(Inventory!$E$2:$E$381,MATCH($B465,Inventory!$A$2:$A$381,0)),""))</f>
        <v/>
      </c>
      <c r="E465" s="24"/>
      <c r="F465" s="24"/>
      <c r="G465" s="23"/>
      <c r="H465" s="23"/>
      <c r="I465" s="23"/>
      <c r="J465" s="11" t="str">
        <f aca="false">IF($B465="","",IF($H465="","Out","Returned"))</f>
        <v/>
      </c>
    </row>
    <row r="466" customFormat="false" ht="15" hidden="false" customHeight="false" outlineLevel="0" collapsed="false">
      <c r="A466" s="23"/>
      <c r="B466" s="23"/>
      <c r="C466" s="10" t="str">
        <f aca="false">IF($B466="","",IFERROR(INDEX(Inventory!$B$2:$B$381,MATCH($B466,Inventory!$A$2:$A$381,0)),"unknown ID"))</f>
        <v/>
      </c>
      <c r="D466" s="11" t="str">
        <f aca="false">IF($B466="","",IFERROR(INDEX(Inventory!$E$2:$E$381,MATCH($B466,Inventory!$A$2:$A$381,0)),""))</f>
        <v/>
      </c>
      <c r="E466" s="24"/>
      <c r="F466" s="24"/>
      <c r="G466" s="23"/>
      <c r="H466" s="23"/>
      <c r="I466" s="23"/>
      <c r="J466" s="11" t="str">
        <f aca="false">IF($B466="","",IF($H466="","Out","Returned"))</f>
        <v/>
      </c>
    </row>
    <row r="467" customFormat="false" ht="15" hidden="false" customHeight="false" outlineLevel="0" collapsed="false">
      <c r="A467" s="23"/>
      <c r="B467" s="23"/>
      <c r="C467" s="10" t="str">
        <f aca="false">IF($B467="","",IFERROR(INDEX(Inventory!$B$2:$B$381,MATCH($B467,Inventory!$A$2:$A$381,0)),"unknown ID"))</f>
        <v/>
      </c>
      <c r="D467" s="11" t="str">
        <f aca="false">IF($B467="","",IFERROR(INDEX(Inventory!$E$2:$E$381,MATCH($B467,Inventory!$A$2:$A$381,0)),""))</f>
        <v/>
      </c>
      <c r="E467" s="24"/>
      <c r="F467" s="24"/>
      <c r="G467" s="23"/>
      <c r="H467" s="23"/>
      <c r="I467" s="23"/>
      <c r="J467" s="11" t="str">
        <f aca="false">IF($B467="","",IF($H467="","Out","Returned"))</f>
        <v/>
      </c>
    </row>
    <row r="468" customFormat="false" ht="15" hidden="false" customHeight="false" outlineLevel="0" collapsed="false">
      <c r="A468" s="23"/>
      <c r="B468" s="23"/>
      <c r="C468" s="10" t="str">
        <f aca="false">IF($B468="","",IFERROR(INDEX(Inventory!$B$2:$B$381,MATCH($B468,Inventory!$A$2:$A$381,0)),"unknown ID"))</f>
        <v/>
      </c>
      <c r="D468" s="11" t="str">
        <f aca="false">IF($B468="","",IFERROR(INDEX(Inventory!$E$2:$E$381,MATCH($B468,Inventory!$A$2:$A$381,0)),""))</f>
        <v/>
      </c>
      <c r="E468" s="24"/>
      <c r="F468" s="24"/>
      <c r="G468" s="23"/>
      <c r="H468" s="23"/>
      <c r="I468" s="23"/>
      <c r="J468" s="11" t="str">
        <f aca="false">IF($B468="","",IF($H468="","Out","Returned"))</f>
        <v/>
      </c>
    </row>
    <row r="469" customFormat="false" ht="15" hidden="false" customHeight="false" outlineLevel="0" collapsed="false">
      <c r="A469" s="23"/>
      <c r="B469" s="23"/>
      <c r="C469" s="10" t="str">
        <f aca="false">IF($B469="","",IFERROR(INDEX(Inventory!$B$2:$B$381,MATCH($B469,Inventory!$A$2:$A$381,0)),"unknown ID"))</f>
        <v/>
      </c>
      <c r="D469" s="11" t="str">
        <f aca="false">IF($B469="","",IFERROR(INDEX(Inventory!$E$2:$E$381,MATCH($B469,Inventory!$A$2:$A$381,0)),""))</f>
        <v/>
      </c>
      <c r="E469" s="24"/>
      <c r="F469" s="24"/>
      <c r="G469" s="23"/>
      <c r="H469" s="23"/>
      <c r="I469" s="23"/>
      <c r="J469" s="11" t="str">
        <f aca="false">IF($B469="","",IF($H469="","Out","Returned"))</f>
        <v/>
      </c>
    </row>
    <row r="470" customFormat="false" ht="15" hidden="false" customHeight="false" outlineLevel="0" collapsed="false">
      <c r="A470" s="23"/>
      <c r="B470" s="23"/>
      <c r="C470" s="10" t="str">
        <f aca="false">IF($B470="","",IFERROR(INDEX(Inventory!$B$2:$B$381,MATCH($B470,Inventory!$A$2:$A$381,0)),"unknown ID"))</f>
        <v/>
      </c>
      <c r="D470" s="11" t="str">
        <f aca="false">IF($B470="","",IFERROR(INDEX(Inventory!$E$2:$E$381,MATCH($B470,Inventory!$A$2:$A$381,0)),""))</f>
        <v/>
      </c>
      <c r="E470" s="24"/>
      <c r="F470" s="24"/>
      <c r="G470" s="23"/>
      <c r="H470" s="23"/>
      <c r="I470" s="23"/>
      <c r="J470" s="11" t="str">
        <f aca="false">IF($B470="","",IF($H470="","Out","Returned"))</f>
        <v/>
      </c>
    </row>
    <row r="471" customFormat="false" ht="15" hidden="false" customHeight="false" outlineLevel="0" collapsed="false">
      <c r="A471" s="23"/>
      <c r="B471" s="23"/>
      <c r="C471" s="10" t="str">
        <f aca="false">IF($B471="","",IFERROR(INDEX(Inventory!$B$2:$B$381,MATCH($B471,Inventory!$A$2:$A$381,0)),"unknown ID"))</f>
        <v/>
      </c>
      <c r="D471" s="11" t="str">
        <f aca="false">IF($B471="","",IFERROR(INDEX(Inventory!$E$2:$E$381,MATCH($B471,Inventory!$A$2:$A$381,0)),""))</f>
        <v/>
      </c>
      <c r="E471" s="24"/>
      <c r="F471" s="24"/>
      <c r="G471" s="23"/>
      <c r="H471" s="23"/>
      <c r="I471" s="23"/>
      <c r="J471" s="11" t="str">
        <f aca="false">IF($B471="","",IF($H471="","Out","Returned"))</f>
        <v/>
      </c>
    </row>
    <row r="472" customFormat="false" ht="15" hidden="false" customHeight="false" outlineLevel="0" collapsed="false">
      <c r="A472" s="23"/>
      <c r="B472" s="23"/>
      <c r="C472" s="10" t="str">
        <f aca="false">IF($B472="","",IFERROR(INDEX(Inventory!$B$2:$B$381,MATCH($B472,Inventory!$A$2:$A$381,0)),"unknown ID"))</f>
        <v/>
      </c>
      <c r="D472" s="11" t="str">
        <f aca="false">IF($B472="","",IFERROR(INDEX(Inventory!$E$2:$E$381,MATCH($B472,Inventory!$A$2:$A$381,0)),""))</f>
        <v/>
      </c>
      <c r="E472" s="24"/>
      <c r="F472" s="24"/>
      <c r="G472" s="23"/>
      <c r="H472" s="23"/>
      <c r="I472" s="23"/>
      <c r="J472" s="11" t="str">
        <f aca="false">IF($B472="","",IF($H472="","Out","Returned"))</f>
        <v/>
      </c>
    </row>
    <row r="473" customFormat="false" ht="15" hidden="false" customHeight="false" outlineLevel="0" collapsed="false">
      <c r="A473" s="23"/>
      <c r="B473" s="23"/>
      <c r="C473" s="10" t="str">
        <f aca="false">IF($B473="","",IFERROR(INDEX(Inventory!$B$2:$B$381,MATCH($B473,Inventory!$A$2:$A$381,0)),"unknown ID"))</f>
        <v/>
      </c>
      <c r="D473" s="11" t="str">
        <f aca="false">IF($B473="","",IFERROR(INDEX(Inventory!$E$2:$E$381,MATCH($B473,Inventory!$A$2:$A$381,0)),""))</f>
        <v/>
      </c>
      <c r="E473" s="24"/>
      <c r="F473" s="24"/>
      <c r="G473" s="23"/>
      <c r="H473" s="23"/>
      <c r="I473" s="23"/>
      <c r="J473" s="11" t="str">
        <f aca="false">IF($B473="","",IF($H473="","Out","Returned"))</f>
        <v/>
      </c>
    </row>
    <row r="474" customFormat="false" ht="15" hidden="false" customHeight="false" outlineLevel="0" collapsed="false">
      <c r="A474" s="23"/>
      <c r="B474" s="23"/>
      <c r="C474" s="10" t="str">
        <f aca="false">IF($B474="","",IFERROR(INDEX(Inventory!$B$2:$B$381,MATCH($B474,Inventory!$A$2:$A$381,0)),"unknown ID"))</f>
        <v/>
      </c>
      <c r="D474" s="11" t="str">
        <f aca="false">IF($B474="","",IFERROR(INDEX(Inventory!$E$2:$E$381,MATCH($B474,Inventory!$A$2:$A$381,0)),""))</f>
        <v/>
      </c>
      <c r="E474" s="24"/>
      <c r="F474" s="24"/>
      <c r="G474" s="23"/>
      <c r="H474" s="23"/>
      <c r="I474" s="23"/>
      <c r="J474" s="11" t="str">
        <f aca="false">IF($B474="","",IF($H474="","Out","Returned"))</f>
        <v/>
      </c>
    </row>
    <row r="475" customFormat="false" ht="15" hidden="false" customHeight="false" outlineLevel="0" collapsed="false">
      <c r="A475" s="23"/>
      <c r="B475" s="23"/>
      <c r="C475" s="10" t="str">
        <f aca="false">IF($B475="","",IFERROR(INDEX(Inventory!$B$2:$B$381,MATCH($B475,Inventory!$A$2:$A$381,0)),"unknown ID"))</f>
        <v/>
      </c>
      <c r="D475" s="11" t="str">
        <f aca="false">IF($B475="","",IFERROR(INDEX(Inventory!$E$2:$E$381,MATCH($B475,Inventory!$A$2:$A$381,0)),""))</f>
        <v/>
      </c>
      <c r="E475" s="24"/>
      <c r="F475" s="24"/>
      <c r="G475" s="23"/>
      <c r="H475" s="23"/>
      <c r="I475" s="23"/>
      <c r="J475" s="11" t="str">
        <f aca="false">IF($B475="","",IF($H475="","Out","Returned"))</f>
        <v/>
      </c>
    </row>
    <row r="476" customFormat="false" ht="15" hidden="false" customHeight="false" outlineLevel="0" collapsed="false">
      <c r="A476" s="23"/>
      <c r="B476" s="23"/>
      <c r="C476" s="10" t="str">
        <f aca="false">IF($B476="","",IFERROR(INDEX(Inventory!$B$2:$B$381,MATCH($B476,Inventory!$A$2:$A$381,0)),"unknown ID"))</f>
        <v/>
      </c>
      <c r="D476" s="11" t="str">
        <f aca="false">IF($B476="","",IFERROR(INDEX(Inventory!$E$2:$E$381,MATCH($B476,Inventory!$A$2:$A$381,0)),""))</f>
        <v/>
      </c>
      <c r="E476" s="24"/>
      <c r="F476" s="24"/>
      <c r="G476" s="23"/>
      <c r="H476" s="23"/>
      <c r="I476" s="23"/>
      <c r="J476" s="11" t="str">
        <f aca="false">IF($B476="","",IF($H476="","Out","Returned"))</f>
        <v/>
      </c>
    </row>
    <row r="477" customFormat="false" ht="15" hidden="false" customHeight="false" outlineLevel="0" collapsed="false">
      <c r="A477" s="23"/>
      <c r="B477" s="23"/>
      <c r="C477" s="10" t="str">
        <f aca="false">IF($B477="","",IFERROR(INDEX(Inventory!$B$2:$B$381,MATCH($B477,Inventory!$A$2:$A$381,0)),"unknown ID"))</f>
        <v/>
      </c>
      <c r="D477" s="11" t="str">
        <f aca="false">IF($B477="","",IFERROR(INDEX(Inventory!$E$2:$E$381,MATCH($B477,Inventory!$A$2:$A$381,0)),""))</f>
        <v/>
      </c>
      <c r="E477" s="24"/>
      <c r="F477" s="24"/>
      <c r="G477" s="23"/>
      <c r="H477" s="23"/>
      <c r="I477" s="23"/>
      <c r="J477" s="11" t="str">
        <f aca="false">IF($B477="","",IF($H477="","Out","Returned"))</f>
        <v/>
      </c>
    </row>
    <row r="478" customFormat="false" ht="15" hidden="false" customHeight="false" outlineLevel="0" collapsed="false">
      <c r="A478" s="23"/>
      <c r="B478" s="23"/>
      <c r="C478" s="10" t="str">
        <f aca="false">IF($B478="","",IFERROR(INDEX(Inventory!$B$2:$B$381,MATCH($B478,Inventory!$A$2:$A$381,0)),"unknown ID"))</f>
        <v/>
      </c>
      <c r="D478" s="11" t="str">
        <f aca="false">IF($B478="","",IFERROR(INDEX(Inventory!$E$2:$E$381,MATCH($B478,Inventory!$A$2:$A$381,0)),""))</f>
        <v/>
      </c>
      <c r="E478" s="24"/>
      <c r="F478" s="24"/>
      <c r="G478" s="23"/>
      <c r="H478" s="23"/>
      <c r="I478" s="23"/>
      <c r="J478" s="11" t="str">
        <f aca="false">IF($B478="","",IF($H478="","Out","Returned"))</f>
        <v/>
      </c>
    </row>
    <row r="479" customFormat="false" ht="15" hidden="false" customHeight="false" outlineLevel="0" collapsed="false">
      <c r="A479" s="23"/>
      <c r="B479" s="23"/>
      <c r="C479" s="10" t="str">
        <f aca="false">IF($B479="","",IFERROR(INDEX(Inventory!$B$2:$B$381,MATCH($B479,Inventory!$A$2:$A$381,0)),"unknown ID"))</f>
        <v/>
      </c>
      <c r="D479" s="11" t="str">
        <f aca="false">IF($B479="","",IFERROR(INDEX(Inventory!$E$2:$E$381,MATCH($B479,Inventory!$A$2:$A$381,0)),""))</f>
        <v/>
      </c>
      <c r="E479" s="24"/>
      <c r="F479" s="24"/>
      <c r="G479" s="23"/>
      <c r="H479" s="23"/>
      <c r="I479" s="23"/>
      <c r="J479" s="11" t="str">
        <f aca="false">IF($B479="","",IF($H479="","Out","Returned"))</f>
        <v/>
      </c>
    </row>
    <row r="480" customFormat="false" ht="15" hidden="false" customHeight="false" outlineLevel="0" collapsed="false">
      <c r="A480" s="23"/>
      <c r="B480" s="23"/>
      <c r="C480" s="10" t="str">
        <f aca="false">IF($B480="","",IFERROR(INDEX(Inventory!$B$2:$B$381,MATCH($B480,Inventory!$A$2:$A$381,0)),"unknown ID"))</f>
        <v/>
      </c>
      <c r="D480" s="11" t="str">
        <f aca="false">IF($B480="","",IFERROR(INDEX(Inventory!$E$2:$E$381,MATCH($B480,Inventory!$A$2:$A$381,0)),""))</f>
        <v/>
      </c>
      <c r="E480" s="24"/>
      <c r="F480" s="24"/>
      <c r="G480" s="23"/>
      <c r="H480" s="23"/>
      <c r="I480" s="23"/>
      <c r="J480" s="11" t="str">
        <f aca="false">IF($B480="","",IF($H480="","Out","Returned"))</f>
        <v/>
      </c>
    </row>
    <row r="481" customFormat="false" ht="15" hidden="false" customHeight="false" outlineLevel="0" collapsed="false">
      <c r="A481" s="23"/>
      <c r="B481" s="23"/>
      <c r="C481" s="10" t="str">
        <f aca="false">IF($B481="","",IFERROR(INDEX(Inventory!$B$2:$B$381,MATCH($B481,Inventory!$A$2:$A$381,0)),"unknown ID"))</f>
        <v/>
      </c>
      <c r="D481" s="11" t="str">
        <f aca="false">IF($B481="","",IFERROR(INDEX(Inventory!$E$2:$E$381,MATCH($B481,Inventory!$A$2:$A$381,0)),""))</f>
        <v/>
      </c>
      <c r="E481" s="24"/>
      <c r="F481" s="24"/>
      <c r="G481" s="23"/>
      <c r="H481" s="23"/>
      <c r="I481" s="23"/>
      <c r="J481" s="11" t="str">
        <f aca="false">IF($B481="","",IF($H481="","Out","Returned"))</f>
        <v/>
      </c>
    </row>
    <row r="482" customFormat="false" ht="15" hidden="false" customHeight="false" outlineLevel="0" collapsed="false">
      <c r="A482" s="23"/>
      <c r="B482" s="23"/>
      <c r="C482" s="10" t="str">
        <f aca="false">IF($B482="","",IFERROR(INDEX(Inventory!$B$2:$B$381,MATCH($B482,Inventory!$A$2:$A$381,0)),"unknown ID"))</f>
        <v/>
      </c>
      <c r="D482" s="11" t="str">
        <f aca="false">IF($B482="","",IFERROR(INDEX(Inventory!$E$2:$E$381,MATCH($B482,Inventory!$A$2:$A$381,0)),""))</f>
        <v/>
      </c>
      <c r="E482" s="24"/>
      <c r="F482" s="24"/>
      <c r="G482" s="23"/>
      <c r="H482" s="23"/>
      <c r="I482" s="23"/>
      <c r="J482" s="11" t="str">
        <f aca="false">IF($B482="","",IF($H482="","Out","Returned"))</f>
        <v/>
      </c>
    </row>
    <row r="483" customFormat="false" ht="15" hidden="false" customHeight="false" outlineLevel="0" collapsed="false">
      <c r="A483" s="23"/>
      <c r="B483" s="23"/>
      <c r="C483" s="10" t="str">
        <f aca="false">IF($B483="","",IFERROR(INDEX(Inventory!$B$2:$B$381,MATCH($B483,Inventory!$A$2:$A$381,0)),"unknown ID"))</f>
        <v/>
      </c>
      <c r="D483" s="11" t="str">
        <f aca="false">IF($B483="","",IFERROR(INDEX(Inventory!$E$2:$E$381,MATCH($B483,Inventory!$A$2:$A$381,0)),""))</f>
        <v/>
      </c>
      <c r="E483" s="24"/>
      <c r="F483" s="24"/>
      <c r="G483" s="23"/>
      <c r="H483" s="23"/>
      <c r="I483" s="23"/>
      <c r="J483" s="11" t="str">
        <f aca="false">IF($B483="","",IF($H483="","Out","Returned"))</f>
        <v/>
      </c>
    </row>
    <row r="484" customFormat="false" ht="15" hidden="false" customHeight="false" outlineLevel="0" collapsed="false">
      <c r="A484" s="23"/>
      <c r="B484" s="23"/>
      <c r="C484" s="10" t="str">
        <f aca="false">IF($B484="","",IFERROR(INDEX(Inventory!$B$2:$B$381,MATCH($B484,Inventory!$A$2:$A$381,0)),"unknown ID"))</f>
        <v/>
      </c>
      <c r="D484" s="11" t="str">
        <f aca="false">IF($B484="","",IFERROR(INDEX(Inventory!$E$2:$E$381,MATCH($B484,Inventory!$A$2:$A$381,0)),""))</f>
        <v/>
      </c>
      <c r="E484" s="24"/>
      <c r="F484" s="24"/>
      <c r="G484" s="23"/>
      <c r="H484" s="23"/>
      <c r="I484" s="23"/>
      <c r="J484" s="11" t="str">
        <f aca="false">IF($B484="","",IF($H484="","Out","Returned"))</f>
        <v/>
      </c>
    </row>
    <row r="485" customFormat="false" ht="15" hidden="false" customHeight="false" outlineLevel="0" collapsed="false">
      <c r="A485" s="23"/>
      <c r="B485" s="23"/>
      <c r="C485" s="10" t="str">
        <f aca="false">IF($B485="","",IFERROR(INDEX(Inventory!$B$2:$B$381,MATCH($B485,Inventory!$A$2:$A$381,0)),"unknown ID"))</f>
        <v/>
      </c>
      <c r="D485" s="11" t="str">
        <f aca="false">IF($B485="","",IFERROR(INDEX(Inventory!$E$2:$E$381,MATCH($B485,Inventory!$A$2:$A$381,0)),""))</f>
        <v/>
      </c>
      <c r="E485" s="24"/>
      <c r="F485" s="24"/>
      <c r="G485" s="23"/>
      <c r="H485" s="23"/>
      <c r="I485" s="23"/>
      <c r="J485" s="11" t="str">
        <f aca="false">IF($B485="","",IF($H485="","Out","Returned"))</f>
        <v/>
      </c>
    </row>
    <row r="486" customFormat="false" ht="15" hidden="false" customHeight="false" outlineLevel="0" collapsed="false">
      <c r="A486" s="23"/>
      <c r="B486" s="23"/>
      <c r="C486" s="10" t="str">
        <f aca="false">IF($B486="","",IFERROR(INDEX(Inventory!$B$2:$B$381,MATCH($B486,Inventory!$A$2:$A$381,0)),"unknown ID"))</f>
        <v/>
      </c>
      <c r="D486" s="11" t="str">
        <f aca="false">IF($B486="","",IFERROR(INDEX(Inventory!$E$2:$E$381,MATCH($B486,Inventory!$A$2:$A$381,0)),""))</f>
        <v/>
      </c>
      <c r="E486" s="24"/>
      <c r="F486" s="24"/>
      <c r="G486" s="23"/>
      <c r="H486" s="23"/>
      <c r="I486" s="23"/>
      <c r="J486" s="11" t="str">
        <f aca="false">IF($B486="","",IF($H486="","Out","Returned"))</f>
        <v/>
      </c>
    </row>
    <row r="487" customFormat="false" ht="15" hidden="false" customHeight="false" outlineLevel="0" collapsed="false">
      <c r="A487" s="23"/>
      <c r="B487" s="23"/>
      <c r="C487" s="10" t="str">
        <f aca="false">IF($B487="","",IFERROR(INDEX(Inventory!$B$2:$B$381,MATCH($B487,Inventory!$A$2:$A$381,0)),"unknown ID"))</f>
        <v/>
      </c>
      <c r="D487" s="11" t="str">
        <f aca="false">IF($B487="","",IFERROR(INDEX(Inventory!$E$2:$E$381,MATCH($B487,Inventory!$A$2:$A$381,0)),""))</f>
        <v/>
      </c>
      <c r="E487" s="24"/>
      <c r="F487" s="24"/>
      <c r="G487" s="23"/>
      <c r="H487" s="23"/>
      <c r="I487" s="23"/>
      <c r="J487" s="11" t="str">
        <f aca="false">IF($B487="","",IF($H487="","Out","Returned"))</f>
        <v/>
      </c>
    </row>
    <row r="488" customFormat="false" ht="15" hidden="false" customHeight="false" outlineLevel="0" collapsed="false">
      <c r="A488" s="23"/>
      <c r="B488" s="23"/>
      <c r="C488" s="10" t="str">
        <f aca="false">IF($B488="","",IFERROR(INDEX(Inventory!$B$2:$B$381,MATCH($B488,Inventory!$A$2:$A$381,0)),"unknown ID"))</f>
        <v/>
      </c>
      <c r="D488" s="11" t="str">
        <f aca="false">IF($B488="","",IFERROR(INDEX(Inventory!$E$2:$E$381,MATCH($B488,Inventory!$A$2:$A$381,0)),""))</f>
        <v/>
      </c>
      <c r="E488" s="24"/>
      <c r="F488" s="24"/>
      <c r="G488" s="23"/>
      <c r="H488" s="23"/>
      <c r="I488" s="23"/>
      <c r="J488" s="11" t="str">
        <f aca="false">IF($B488="","",IF($H488="","Out","Returned"))</f>
        <v/>
      </c>
    </row>
    <row r="489" customFormat="false" ht="15" hidden="false" customHeight="false" outlineLevel="0" collapsed="false">
      <c r="A489" s="23"/>
      <c r="B489" s="23"/>
      <c r="C489" s="10" t="str">
        <f aca="false">IF($B489="","",IFERROR(INDEX(Inventory!$B$2:$B$381,MATCH($B489,Inventory!$A$2:$A$381,0)),"unknown ID"))</f>
        <v/>
      </c>
      <c r="D489" s="11" t="str">
        <f aca="false">IF($B489="","",IFERROR(INDEX(Inventory!$E$2:$E$381,MATCH($B489,Inventory!$A$2:$A$381,0)),""))</f>
        <v/>
      </c>
      <c r="E489" s="24"/>
      <c r="F489" s="24"/>
      <c r="G489" s="23"/>
      <c r="H489" s="23"/>
      <c r="I489" s="23"/>
      <c r="J489" s="11" t="str">
        <f aca="false">IF($B489="","",IF($H489="","Out","Returned"))</f>
        <v/>
      </c>
    </row>
    <row r="490" customFormat="false" ht="15" hidden="false" customHeight="false" outlineLevel="0" collapsed="false">
      <c r="A490" s="23"/>
      <c r="B490" s="23"/>
      <c r="C490" s="10" t="str">
        <f aca="false">IF($B490="","",IFERROR(INDEX(Inventory!$B$2:$B$381,MATCH($B490,Inventory!$A$2:$A$381,0)),"unknown ID"))</f>
        <v/>
      </c>
      <c r="D490" s="11" t="str">
        <f aca="false">IF($B490="","",IFERROR(INDEX(Inventory!$E$2:$E$381,MATCH($B490,Inventory!$A$2:$A$381,0)),""))</f>
        <v/>
      </c>
      <c r="E490" s="24"/>
      <c r="F490" s="24"/>
      <c r="G490" s="23"/>
      <c r="H490" s="23"/>
      <c r="I490" s="23"/>
      <c r="J490" s="11" t="str">
        <f aca="false">IF($B490="","",IF($H490="","Out","Returned"))</f>
        <v/>
      </c>
    </row>
    <row r="491" customFormat="false" ht="15" hidden="false" customHeight="false" outlineLevel="0" collapsed="false">
      <c r="A491" s="23"/>
      <c r="B491" s="23"/>
      <c r="C491" s="10" t="str">
        <f aca="false">IF($B491="","",IFERROR(INDEX(Inventory!$B$2:$B$381,MATCH($B491,Inventory!$A$2:$A$381,0)),"unknown ID"))</f>
        <v/>
      </c>
      <c r="D491" s="11" t="str">
        <f aca="false">IF($B491="","",IFERROR(INDEX(Inventory!$E$2:$E$381,MATCH($B491,Inventory!$A$2:$A$381,0)),""))</f>
        <v/>
      </c>
      <c r="E491" s="24"/>
      <c r="F491" s="24"/>
      <c r="G491" s="23"/>
      <c r="H491" s="23"/>
      <c r="I491" s="23"/>
      <c r="J491" s="11" t="str">
        <f aca="false">IF($B491="","",IF($H491="","Out","Returned"))</f>
        <v/>
      </c>
    </row>
    <row r="492" customFormat="false" ht="15" hidden="false" customHeight="false" outlineLevel="0" collapsed="false">
      <c r="A492" s="23"/>
      <c r="B492" s="23"/>
      <c r="C492" s="10" t="str">
        <f aca="false">IF($B492="","",IFERROR(INDEX(Inventory!$B$2:$B$381,MATCH($B492,Inventory!$A$2:$A$381,0)),"unknown ID"))</f>
        <v/>
      </c>
      <c r="D492" s="11" t="str">
        <f aca="false">IF($B492="","",IFERROR(INDEX(Inventory!$E$2:$E$381,MATCH($B492,Inventory!$A$2:$A$381,0)),""))</f>
        <v/>
      </c>
      <c r="E492" s="24"/>
      <c r="F492" s="24"/>
      <c r="G492" s="23"/>
      <c r="H492" s="23"/>
      <c r="I492" s="23"/>
      <c r="J492" s="11" t="str">
        <f aca="false">IF($B492="","",IF($H492="","Out","Returned"))</f>
        <v/>
      </c>
    </row>
    <row r="493" customFormat="false" ht="15" hidden="false" customHeight="false" outlineLevel="0" collapsed="false">
      <c r="A493" s="23"/>
      <c r="B493" s="23"/>
      <c r="C493" s="10" t="str">
        <f aca="false">IF($B493="","",IFERROR(INDEX(Inventory!$B$2:$B$381,MATCH($B493,Inventory!$A$2:$A$381,0)),"unknown ID"))</f>
        <v/>
      </c>
      <c r="D493" s="11" t="str">
        <f aca="false">IF($B493="","",IFERROR(INDEX(Inventory!$E$2:$E$381,MATCH($B493,Inventory!$A$2:$A$381,0)),""))</f>
        <v/>
      </c>
      <c r="E493" s="24"/>
      <c r="F493" s="24"/>
      <c r="G493" s="23"/>
      <c r="H493" s="23"/>
      <c r="I493" s="23"/>
      <c r="J493" s="11" t="str">
        <f aca="false">IF($B493="","",IF($H493="","Out","Returned"))</f>
        <v/>
      </c>
    </row>
    <row r="494" customFormat="false" ht="15" hidden="false" customHeight="false" outlineLevel="0" collapsed="false">
      <c r="A494" s="23"/>
      <c r="B494" s="23"/>
      <c r="C494" s="10" t="str">
        <f aca="false">IF($B494="","",IFERROR(INDEX(Inventory!$B$2:$B$381,MATCH($B494,Inventory!$A$2:$A$381,0)),"unknown ID"))</f>
        <v/>
      </c>
      <c r="D494" s="11" t="str">
        <f aca="false">IF($B494="","",IFERROR(INDEX(Inventory!$E$2:$E$381,MATCH($B494,Inventory!$A$2:$A$381,0)),""))</f>
        <v/>
      </c>
      <c r="E494" s="24"/>
      <c r="F494" s="24"/>
      <c r="G494" s="23"/>
      <c r="H494" s="23"/>
      <c r="I494" s="23"/>
      <c r="J494" s="11" t="str">
        <f aca="false">IF($B494="","",IF($H494="","Out","Returned"))</f>
        <v/>
      </c>
    </row>
    <row r="495" customFormat="false" ht="15" hidden="false" customHeight="false" outlineLevel="0" collapsed="false">
      <c r="A495" s="23"/>
      <c r="B495" s="23"/>
      <c r="C495" s="10" t="str">
        <f aca="false">IF($B495="","",IFERROR(INDEX(Inventory!$B$2:$B$381,MATCH($B495,Inventory!$A$2:$A$381,0)),"unknown ID"))</f>
        <v/>
      </c>
      <c r="D495" s="11" t="str">
        <f aca="false">IF($B495="","",IFERROR(INDEX(Inventory!$E$2:$E$381,MATCH($B495,Inventory!$A$2:$A$381,0)),""))</f>
        <v/>
      </c>
      <c r="E495" s="24"/>
      <c r="F495" s="24"/>
      <c r="G495" s="23"/>
      <c r="H495" s="23"/>
      <c r="I495" s="23"/>
      <c r="J495" s="11" t="str">
        <f aca="false">IF($B495="","",IF($H495="","Out","Returned"))</f>
        <v/>
      </c>
    </row>
    <row r="496" customFormat="false" ht="15" hidden="false" customHeight="false" outlineLevel="0" collapsed="false">
      <c r="A496" s="23"/>
      <c r="B496" s="23"/>
      <c r="C496" s="10" t="str">
        <f aca="false">IF($B496="","",IFERROR(INDEX(Inventory!$B$2:$B$381,MATCH($B496,Inventory!$A$2:$A$381,0)),"unknown ID"))</f>
        <v/>
      </c>
      <c r="D496" s="11" t="str">
        <f aca="false">IF($B496="","",IFERROR(INDEX(Inventory!$E$2:$E$381,MATCH($B496,Inventory!$A$2:$A$381,0)),""))</f>
        <v/>
      </c>
      <c r="E496" s="24"/>
      <c r="F496" s="24"/>
      <c r="G496" s="23"/>
      <c r="H496" s="23"/>
      <c r="I496" s="23"/>
      <c r="J496" s="11" t="str">
        <f aca="false">IF($B496="","",IF($H496="","Out","Returned"))</f>
        <v/>
      </c>
    </row>
    <row r="497" customFormat="false" ht="15" hidden="false" customHeight="false" outlineLevel="0" collapsed="false">
      <c r="A497" s="23"/>
      <c r="B497" s="23"/>
      <c r="C497" s="10" t="str">
        <f aca="false">IF($B497="","",IFERROR(INDEX(Inventory!$B$2:$B$381,MATCH($B497,Inventory!$A$2:$A$381,0)),"unknown ID"))</f>
        <v/>
      </c>
      <c r="D497" s="11" t="str">
        <f aca="false">IF($B497="","",IFERROR(INDEX(Inventory!$E$2:$E$381,MATCH($B497,Inventory!$A$2:$A$381,0)),""))</f>
        <v/>
      </c>
      <c r="E497" s="24"/>
      <c r="F497" s="24"/>
      <c r="G497" s="23"/>
      <c r="H497" s="23"/>
      <c r="I497" s="23"/>
      <c r="J497" s="11" t="str">
        <f aca="false">IF($B497="","",IF($H497="","Out","Returned"))</f>
        <v/>
      </c>
    </row>
    <row r="498" customFormat="false" ht="15" hidden="false" customHeight="false" outlineLevel="0" collapsed="false">
      <c r="A498" s="23"/>
      <c r="B498" s="23"/>
      <c r="C498" s="10" t="str">
        <f aca="false">IF($B498="","",IFERROR(INDEX(Inventory!$B$2:$B$381,MATCH($B498,Inventory!$A$2:$A$381,0)),"unknown ID"))</f>
        <v/>
      </c>
      <c r="D498" s="11" t="str">
        <f aca="false">IF($B498="","",IFERROR(INDEX(Inventory!$E$2:$E$381,MATCH($B498,Inventory!$A$2:$A$381,0)),""))</f>
        <v/>
      </c>
      <c r="E498" s="24"/>
      <c r="F498" s="24"/>
      <c r="G498" s="23"/>
      <c r="H498" s="23"/>
      <c r="I498" s="23"/>
      <c r="J498" s="11" t="str">
        <f aca="false">IF($B498="","",IF($H498="","Out","Returned"))</f>
        <v/>
      </c>
    </row>
    <row r="499" customFormat="false" ht="15" hidden="false" customHeight="false" outlineLevel="0" collapsed="false">
      <c r="A499" s="23"/>
      <c r="B499" s="23"/>
      <c r="C499" s="10" t="str">
        <f aca="false">IF($B499="","",IFERROR(INDEX(Inventory!$B$2:$B$381,MATCH($B499,Inventory!$A$2:$A$381,0)),"unknown ID"))</f>
        <v/>
      </c>
      <c r="D499" s="11" t="str">
        <f aca="false">IF($B499="","",IFERROR(INDEX(Inventory!$E$2:$E$381,MATCH($B499,Inventory!$A$2:$A$381,0)),""))</f>
        <v/>
      </c>
      <c r="E499" s="24"/>
      <c r="F499" s="24"/>
      <c r="G499" s="23"/>
      <c r="H499" s="23"/>
      <c r="I499" s="23"/>
      <c r="J499" s="11" t="str">
        <f aca="false">IF($B499="","",IF($H499="","Out","Returned"))</f>
        <v/>
      </c>
    </row>
    <row r="500" customFormat="false" ht="15" hidden="false" customHeight="false" outlineLevel="0" collapsed="false">
      <c r="A500" s="23"/>
      <c r="B500" s="23"/>
      <c r="C500" s="10" t="str">
        <f aca="false">IF($B500="","",IFERROR(INDEX(Inventory!$B$2:$B$381,MATCH($B500,Inventory!$A$2:$A$381,0)),"unknown ID"))</f>
        <v/>
      </c>
      <c r="D500" s="11" t="str">
        <f aca="false">IF($B500="","",IFERROR(INDEX(Inventory!$E$2:$E$381,MATCH($B500,Inventory!$A$2:$A$381,0)),""))</f>
        <v/>
      </c>
      <c r="E500" s="24"/>
      <c r="F500" s="24"/>
      <c r="G500" s="23"/>
      <c r="H500" s="23"/>
      <c r="I500" s="23"/>
      <c r="J500" s="11" t="str">
        <f aca="false">IF($B500="","",IF($H500="","Out","Returned"))</f>
        <v/>
      </c>
    </row>
    <row r="501" customFormat="false" ht="15" hidden="false" customHeight="false" outlineLevel="0" collapsed="false">
      <c r="A501" s="23"/>
      <c r="B501" s="23"/>
      <c r="C501" s="10" t="str">
        <f aca="false">IF($B501="","",IFERROR(INDEX(Inventory!$B$2:$B$381,MATCH($B501,Inventory!$A$2:$A$381,0)),"unknown ID"))</f>
        <v/>
      </c>
      <c r="D501" s="11" t="str">
        <f aca="false">IF($B501="","",IFERROR(INDEX(Inventory!$E$2:$E$381,MATCH($B501,Inventory!$A$2:$A$381,0)),""))</f>
        <v/>
      </c>
      <c r="E501" s="24"/>
      <c r="F501" s="24"/>
      <c r="G501" s="23"/>
      <c r="H501" s="23"/>
      <c r="I501" s="23"/>
      <c r="J501" s="11" t="str">
        <f aca="false">IF($B501="","",IF($H501="","Out","Returned"))</f>
        <v/>
      </c>
    </row>
  </sheetData>
  <autoFilter ref="A1:J501"/>
  <conditionalFormatting sqref="A2:J501">
    <cfRule type="expression" priority="2" aboveAverage="0" equalAverage="0" bottom="0" percent="0" rank="0" text="" dxfId="0">
      <formula>$J2="Out"</formula>
    </cfRule>
    <cfRule type="expression" priority="3" aboveAverage="0" equalAverage="0" bottom="0" percent="0" rank="0" text="" dxfId="1">
      <formula>$J2="Returned"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20"/>
  </cols>
  <sheetData>
    <row r="2" customFormat="false" ht="30" hidden="false" customHeight="true" outlineLevel="0" collapsed="false">
      <c r="B2" s="1" t="s">
        <v>103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104</v>
      </c>
    </row>
    <row r="5" customFormat="false" ht="15" hidden="false" customHeight="false" outlineLevel="0" collapsed="false">
      <c r="B5" s="7" t="s">
        <v>88</v>
      </c>
      <c r="C5" s="7" t="s">
        <v>17</v>
      </c>
      <c r="D5" s="7" t="s">
        <v>18</v>
      </c>
      <c r="E5" s="7" t="s">
        <v>19</v>
      </c>
      <c r="F5" s="7" t="s">
        <v>105</v>
      </c>
    </row>
    <row r="6" customFormat="false" ht="15" hidden="false" customHeight="false" outlineLevel="0" collapsed="false">
      <c r="B6" s="25" t="s">
        <v>106</v>
      </c>
      <c r="C6" s="11" t="n">
        <f aca="false">COUNTIF(Inventory!$E$2:$E$381,$B6)</f>
        <v>7</v>
      </c>
      <c r="D6" s="11" t="n">
        <f aca="false">COUNTIFS(Inventory!$E$2:$E$381,$B6,Inventory!$J$2:$J$381,"Low stock")+COUNTIFS(Inventory!$E$2:$E$381,$B6,Inventory!$J$2:$J$381,"Out of stock")</f>
        <v>1</v>
      </c>
      <c r="E6" s="11" t="n">
        <f aca="false">SUMIF(Inventory!$E$2:$E$381,$B6,Inventory!$H$2:$H$381)</f>
        <v>235</v>
      </c>
      <c r="F6" s="10" t="s">
        <v>68</v>
      </c>
    </row>
    <row r="7" customFormat="false" ht="15" hidden="false" customHeight="false" outlineLevel="0" collapsed="false">
      <c r="B7" s="25" t="s">
        <v>107</v>
      </c>
      <c r="C7" s="11" t="n">
        <f aca="false">COUNTIF(Inventory!$E$2:$E$381,$B7)</f>
        <v>6</v>
      </c>
      <c r="D7" s="11" t="n">
        <f aca="false">COUNTIFS(Inventory!$E$2:$E$381,$B7,Inventory!$J$2:$J$381,"Low stock")+COUNTIFS(Inventory!$E$2:$E$381,$B7,Inventory!$J$2:$J$381,"Out of stock")</f>
        <v>0</v>
      </c>
      <c r="E7" s="11" t="n">
        <f aca="false">SUMIF(Inventory!$E$2:$E$381,$B7,Inventory!$H$2:$H$381)</f>
        <v>215</v>
      </c>
      <c r="F7" s="10" t="s">
        <v>68</v>
      </c>
    </row>
    <row r="8" customFormat="false" ht="15" hidden="false" customHeight="false" outlineLevel="0" collapsed="false">
      <c r="B8" s="25" t="s">
        <v>108</v>
      </c>
      <c r="C8" s="11" t="n">
        <f aca="false">COUNTIF(Inventory!$E$2:$E$381,$B8)</f>
        <v>7</v>
      </c>
      <c r="D8" s="11" t="n">
        <f aca="false">COUNTIFS(Inventory!$E$2:$E$381,$B8,Inventory!$J$2:$J$381,"Low stock")+COUNTIFS(Inventory!$E$2:$E$381,$B8,Inventory!$J$2:$J$381,"Out of stock")</f>
        <v>2</v>
      </c>
      <c r="E8" s="11" t="n">
        <f aca="false">SUMIF(Inventory!$E$2:$E$381,$B8,Inventory!$H$2:$H$381)</f>
        <v>126</v>
      </c>
      <c r="F8" s="10" t="s">
        <v>64</v>
      </c>
    </row>
    <row r="9" customFormat="false" ht="15" hidden="false" customHeight="false" outlineLevel="0" collapsed="false">
      <c r="B9" s="25" t="s">
        <v>109</v>
      </c>
      <c r="C9" s="11" t="n">
        <f aca="false">COUNTIF(Inventory!$E$2:$E$381,$B9)</f>
        <v>5</v>
      </c>
      <c r="D9" s="11" t="n">
        <f aca="false">COUNTIFS(Inventory!$E$2:$E$381,$B9,Inventory!$J$2:$J$381,"Low stock")+COUNTIFS(Inventory!$E$2:$E$381,$B9,Inventory!$J$2:$J$381,"Out of stock")</f>
        <v>0</v>
      </c>
      <c r="E9" s="11" t="n">
        <f aca="false">SUMIF(Inventory!$E$2:$E$381,$B9,Inventory!$H$2:$H$381)</f>
        <v>46</v>
      </c>
      <c r="F9" s="10" t="s">
        <v>58</v>
      </c>
    </row>
    <row r="10" customFormat="false" ht="15" hidden="false" customHeight="false" outlineLevel="0" collapsed="false">
      <c r="B10" s="25" t="s">
        <v>110</v>
      </c>
      <c r="C10" s="11" t="n">
        <f aca="false">COUNTIF(Inventory!$E$2:$E$381,$B10)</f>
        <v>13</v>
      </c>
      <c r="D10" s="11" t="n">
        <f aca="false">COUNTIFS(Inventory!$E$2:$E$381,$B10,Inventory!$J$2:$J$381,"Low stock")+COUNTIFS(Inventory!$E$2:$E$381,$B10,Inventory!$J$2:$J$381,"Out of stock")</f>
        <v>3</v>
      </c>
      <c r="E10" s="11" t="n">
        <f aca="false">SUMIF(Inventory!$E$2:$E$381,$B10,Inventory!$H$2:$H$381)</f>
        <v>477</v>
      </c>
      <c r="F10" s="10" t="s">
        <v>37</v>
      </c>
    </row>
    <row r="11" customFormat="false" ht="15" hidden="false" customHeight="false" outlineLevel="0" collapsed="false">
      <c r="B11" s="25" t="s">
        <v>111</v>
      </c>
      <c r="C11" s="11" t="n">
        <f aca="false">COUNTIF(Inventory!$E$2:$E$381,$B11)</f>
        <v>11</v>
      </c>
      <c r="D11" s="11" t="n">
        <f aca="false">COUNTIFS(Inventory!$E$2:$E$381,$B11,Inventory!$J$2:$J$381,"Low stock")+COUNTIFS(Inventory!$E$2:$E$381,$B11,Inventory!$J$2:$J$381,"Out of stock")</f>
        <v>2</v>
      </c>
      <c r="E11" s="11" t="n">
        <f aca="false">SUMIF(Inventory!$E$2:$E$381,$B11,Inventory!$H$2:$H$381)</f>
        <v>250</v>
      </c>
      <c r="F11" s="10" t="s">
        <v>37</v>
      </c>
    </row>
    <row r="12" customFormat="false" ht="15" hidden="false" customHeight="false" outlineLevel="0" collapsed="false">
      <c r="B12" s="25" t="s">
        <v>112</v>
      </c>
      <c r="C12" s="11" t="n">
        <f aca="false">COUNTIF(Inventory!$E$2:$E$381,$B12)</f>
        <v>5</v>
      </c>
      <c r="D12" s="11" t="n">
        <f aca="false">COUNTIFS(Inventory!$E$2:$E$381,$B12,Inventory!$J$2:$J$381,"Low stock")+COUNTIFS(Inventory!$E$2:$E$381,$B12,Inventory!$J$2:$J$381,"Out of stock")</f>
        <v>0</v>
      </c>
      <c r="E12" s="11" t="n">
        <f aca="false">SUMIF(Inventory!$E$2:$E$381,$B12,Inventory!$H$2:$H$381)</f>
        <v>245</v>
      </c>
      <c r="F12" s="10" t="s">
        <v>68</v>
      </c>
    </row>
    <row r="13" customFormat="false" ht="15" hidden="false" customHeight="false" outlineLevel="0" collapsed="false">
      <c r="B13" s="25" t="s">
        <v>113</v>
      </c>
      <c r="C13" s="11" t="n">
        <f aca="false">COUNTIF(Inventory!$E$2:$E$381,$B13)</f>
        <v>19</v>
      </c>
      <c r="D13" s="11" t="n">
        <f aca="false">COUNTIFS(Inventory!$E$2:$E$381,$B13,Inventory!$J$2:$J$381,"Low stock")+COUNTIFS(Inventory!$E$2:$E$381,$B13,Inventory!$J$2:$J$381,"Out of stock")</f>
        <v>10</v>
      </c>
      <c r="E13" s="11" t="n">
        <f aca="false">SUMIF(Inventory!$E$2:$E$381,$B13,Inventory!$H$2:$H$381)</f>
        <v>35</v>
      </c>
      <c r="F13" s="10" t="s">
        <v>69</v>
      </c>
    </row>
    <row r="14" customFormat="false" ht="15" hidden="false" customHeight="false" outlineLevel="0" collapsed="false">
      <c r="B14" s="25" t="s">
        <v>114</v>
      </c>
      <c r="C14" s="11" t="n">
        <f aca="false">COUNTIF(Inventory!$E$2:$E$381,$B14)</f>
        <v>14</v>
      </c>
      <c r="D14" s="11" t="n">
        <f aca="false">COUNTIFS(Inventory!$E$2:$E$381,$B14,Inventory!$J$2:$J$381,"Low stock")+COUNTIFS(Inventory!$E$2:$E$381,$B14,Inventory!$J$2:$J$381,"Out of stock")</f>
        <v>13</v>
      </c>
      <c r="E14" s="11" t="n">
        <f aca="false">SUMIF(Inventory!$E$2:$E$381,$B14,Inventory!$H$2:$H$381)</f>
        <v>15</v>
      </c>
      <c r="F14" s="10" t="s">
        <v>60</v>
      </c>
    </row>
    <row r="15" customFormat="false" ht="15" hidden="false" customHeight="false" outlineLevel="0" collapsed="false">
      <c r="B15" s="25" t="s">
        <v>115</v>
      </c>
      <c r="C15" s="11" t="n">
        <f aca="false">COUNTIF(Inventory!$E$2:$E$381,$B15)</f>
        <v>5</v>
      </c>
      <c r="D15" s="11" t="n">
        <f aca="false">COUNTIFS(Inventory!$E$2:$E$381,$B15,Inventory!$J$2:$J$381,"Low stock")+COUNTIFS(Inventory!$E$2:$E$381,$B15,Inventory!$J$2:$J$381,"Out of stock")</f>
        <v>2</v>
      </c>
      <c r="E15" s="11" t="n">
        <f aca="false">SUMIF(Inventory!$E$2:$E$381,$B15,Inventory!$H$2:$H$381)</f>
        <v>21</v>
      </c>
      <c r="F15" s="10" t="s">
        <v>65</v>
      </c>
    </row>
    <row r="16" customFormat="false" ht="15" hidden="false" customHeight="false" outlineLevel="0" collapsed="false">
      <c r="B16" s="25" t="s">
        <v>116</v>
      </c>
      <c r="C16" s="11" t="n">
        <f aca="false">COUNTIF(Inventory!$E$2:$E$381,$B16)</f>
        <v>1</v>
      </c>
      <c r="D16" s="11" t="n">
        <f aca="false">COUNTIFS(Inventory!$E$2:$E$381,$B16,Inventory!$J$2:$J$381,"Low stock")+COUNTIFS(Inventory!$E$2:$E$381,$B16,Inventory!$J$2:$J$381,"Out of stock")</f>
        <v>0</v>
      </c>
      <c r="E16" s="11" t="n">
        <f aca="false">SUMIF(Inventory!$E$2:$E$381,$B16,Inventory!$H$2:$H$381)</f>
        <v>1</v>
      </c>
      <c r="F16" s="10" t="s">
        <v>41</v>
      </c>
    </row>
    <row r="17" customFormat="false" ht="15" hidden="false" customHeight="false" outlineLevel="0" collapsed="false">
      <c r="B17" s="25" t="s">
        <v>117</v>
      </c>
      <c r="C17" s="11" t="n">
        <f aca="false">COUNTIF(Inventory!$E$2:$E$381,$B17)</f>
        <v>5</v>
      </c>
      <c r="D17" s="11" t="n">
        <f aca="false">COUNTIFS(Inventory!$E$2:$E$381,$B17,Inventory!$J$2:$J$381,"Low stock")+COUNTIFS(Inventory!$E$2:$E$381,$B17,Inventory!$J$2:$J$381,"Out of stock")</f>
        <v>0</v>
      </c>
      <c r="E17" s="11" t="n">
        <f aca="false">SUMIF(Inventory!$E$2:$E$381,$B17,Inventory!$H$2:$H$381)</f>
        <v>111</v>
      </c>
      <c r="F17" s="10" t="s">
        <v>25</v>
      </c>
    </row>
    <row r="18" customFormat="false" ht="15" hidden="false" customHeight="false" outlineLevel="0" collapsed="false">
      <c r="B18" s="25" t="s">
        <v>118</v>
      </c>
      <c r="C18" s="11" t="n">
        <f aca="false">COUNTIF(Inventory!$E$2:$E$381,$B18)</f>
        <v>3</v>
      </c>
      <c r="D18" s="11" t="n">
        <f aca="false">COUNTIFS(Inventory!$E$2:$E$381,$B18,Inventory!$J$2:$J$381,"Low stock")+COUNTIFS(Inventory!$E$2:$E$381,$B18,Inventory!$J$2:$J$381,"Out of stock")</f>
        <v>0</v>
      </c>
      <c r="E18" s="11" t="n">
        <f aca="false">SUMIF(Inventory!$E$2:$E$381,$B18,Inventory!$H$2:$H$381)</f>
        <v>33</v>
      </c>
      <c r="F18" s="10" t="s">
        <v>37</v>
      </c>
    </row>
    <row r="19" customFormat="false" ht="15" hidden="false" customHeight="false" outlineLevel="0" collapsed="false">
      <c r="B19" s="25" t="s">
        <v>119</v>
      </c>
      <c r="C19" s="11" t="n">
        <f aca="false">COUNTIF(Inventory!$E$2:$E$381,$B19)</f>
        <v>8</v>
      </c>
      <c r="D19" s="11" t="n">
        <f aca="false">COUNTIFS(Inventory!$E$2:$E$381,$B19,Inventory!$J$2:$J$381,"Low stock")+COUNTIFS(Inventory!$E$2:$E$381,$B19,Inventory!$J$2:$J$381,"Out of stock")</f>
        <v>1</v>
      </c>
      <c r="E19" s="11" t="n">
        <f aca="false">SUMIF(Inventory!$E$2:$E$381,$B19,Inventory!$H$2:$H$381)</f>
        <v>75</v>
      </c>
      <c r="F19" s="10" t="s">
        <v>69</v>
      </c>
    </row>
    <row r="20" customFormat="false" ht="15" hidden="false" customHeight="false" outlineLevel="0" collapsed="false">
      <c r="B20" s="25" t="s">
        <v>120</v>
      </c>
      <c r="C20" s="11" t="n">
        <f aca="false">COUNTIF(Inventory!$E$2:$E$381,$B20)</f>
        <v>5</v>
      </c>
      <c r="D20" s="11" t="n">
        <f aca="false">COUNTIFS(Inventory!$E$2:$E$381,$B20,Inventory!$J$2:$J$381,"Low stock")+COUNTIFS(Inventory!$E$2:$E$381,$B20,Inventory!$J$2:$J$381,"Out of stock")</f>
        <v>0</v>
      </c>
      <c r="E20" s="11" t="n">
        <f aca="false">SUMIF(Inventory!$E$2:$E$381,$B20,Inventory!$H$2:$H$381)</f>
        <v>49</v>
      </c>
      <c r="F20" s="10" t="s">
        <v>72</v>
      </c>
    </row>
    <row r="21" customFormat="false" ht="15" hidden="false" customHeight="false" outlineLevel="0" collapsed="false">
      <c r="B21" s="25" t="s">
        <v>121</v>
      </c>
      <c r="C21" s="11" t="n">
        <f aca="false">COUNTIF(Inventory!$E$2:$E$381,$B21)</f>
        <v>2</v>
      </c>
      <c r="D21" s="11" t="n">
        <f aca="false">COUNTIFS(Inventory!$E$2:$E$381,$B21,Inventory!$J$2:$J$381,"Low stock")+COUNTIFS(Inventory!$E$2:$E$381,$B21,Inventory!$J$2:$J$381,"Out of stock")</f>
        <v>0</v>
      </c>
      <c r="E21" s="11" t="n">
        <f aca="false">SUMIF(Inventory!$E$2:$E$381,$B21,Inventory!$H$2:$H$381)</f>
        <v>19</v>
      </c>
      <c r="F21" s="10" t="s">
        <v>60</v>
      </c>
    </row>
    <row r="22" customFormat="false" ht="15" hidden="false" customHeight="false" outlineLevel="0" collapsed="false">
      <c r="B22" s="25" t="s">
        <v>122</v>
      </c>
      <c r="C22" s="11" t="n">
        <f aca="false">COUNTIF(Inventory!$E$2:$E$381,$B22)</f>
        <v>6</v>
      </c>
      <c r="D22" s="11" t="n">
        <f aca="false">COUNTIFS(Inventory!$E$2:$E$381,$B22,Inventory!$J$2:$J$381,"Low stock")+COUNTIFS(Inventory!$E$2:$E$381,$B22,Inventory!$J$2:$J$381,"Out of stock")</f>
        <v>1</v>
      </c>
      <c r="E22" s="11" t="n">
        <f aca="false">SUMIF(Inventory!$E$2:$E$381,$B22,Inventory!$H$2:$H$381)</f>
        <v>255</v>
      </c>
      <c r="F22" s="10" t="s">
        <v>62</v>
      </c>
    </row>
    <row r="23" customFormat="false" ht="15" hidden="false" customHeight="false" outlineLevel="0" collapsed="false">
      <c r="B23" s="25" t="s">
        <v>123</v>
      </c>
      <c r="C23" s="11" t="n">
        <f aca="false">COUNTIF(Inventory!$E$2:$E$381,$B23)</f>
        <v>4</v>
      </c>
      <c r="D23" s="11" t="n">
        <f aca="false">COUNTIFS(Inventory!$E$2:$E$381,$B23,Inventory!$J$2:$J$381,"Low stock")+COUNTIFS(Inventory!$E$2:$E$381,$B23,Inventory!$J$2:$J$381,"Out of stock")</f>
        <v>0</v>
      </c>
      <c r="E23" s="11" t="n">
        <f aca="false">SUMIF(Inventory!$E$2:$E$381,$B23,Inventory!$H$2:$H$381)</f>
        <v>147</v>
      </c>
      <c r="F23" s="10" t="s">
        <v>64</v>
      </c>
    </row>
    <row r="24" customFormat="false" ht="15" hidden="false" customHeight="false" outlineLevel="0" collapsed="false">
      <c r="B24" s="25" t="s">
        <v>124</v>
      </c>
      <c r="C24" s="11" t="n">
        <f aca="false">COUNTIF(Inventory!$E$2:$E$381,$B24)</f>
        <v>7</v>
      </c>
      <c r="D24" s="11" t="n">
        <f aca="false">COUNTIFS(Inventory!$E$2:$E$381,$B24,Inventory!$J$2:$J$381,"Low stock")+COUNTIFS(Inventory!$E$2:$E$381,$B24,Inventory!$J$2:$J$381,"Out of stock")</f>
        <v>2</v>
      </c>
      <c r="E24" s="11" t="n">
        <f aca="false">SUMIF(Inventory!$E$2:$E$381,$B24,Inventory!$H$2:$H$381)</f>
        <v>169</v>
      </c>
      <c r="F24" s="10" t="s">
        <v>54</v>
      </c>
    </row>
    <row r="25" customFormat="false" ht="15" hidden="false" customHeight="false" outlineLevel="0" collapsed="false">
      <c r="B25" s="25" t="s">
        <v>125</v>
      </c>
      <c r="C25" s="11" t="n">
        <f aca="false">COUNTIF(Inventory!$E$2:$E$381,$B25)</f>
        <v>5</v>
      </c>
      <c r="D25" s="11" t="n">
        <f aca="false">COUNTIFS(Inventory!$E$2:$E$381,$B25,Inventory!$J$2:$J$381,"Low stock")+COUNTIFS(Inventory!$E$2:$E$381,$B25,Inventory!$J$2:$J$381,"Out of stock")</f>
        <v>0</v>
      </c>
      <c r="E25" s="11" t="n">
        <f aca="false">SUMIF(Inventory!$E$2:$E$381,$B25,Inventory!$H$2:$H$381)</f>
        <v>46</v>
      </c>
      <c r="F25" s="10" t="s">
        <v>69</v>
      </c>
    </row>
    <row r="26" customFormat="false" ht="15" hidden="false" customHeight="false" outlineLevel="0" collapsed="false">
      <c r="B26" s="25" t="s">
        <v>126</v>
      </c>
      <c r="C26" s="11" t="n">
        <f aca="false">COUNTIF(Inventory!$E$2:$E$381,$B26)</f>
        <v>2</v>
      </c>
      <c r="D26" s="11" t="n">
        <f aca="false">COUNTIFS(Inventory!$E$2:$E$381,$B26,Inventory!$J$2:$J$381,"Low stock")+COUNTIFS(Inventory!$E$2:$E$381,$B26,Inventory!$J$2:$J$381,"Out of stock")</f>
        <v>0</v>
      </c>
      <c r="E26" s="11" t="n">
        <f aca="false">SUMIF(Inventory!$E$2:$E$381,$B26,Inventory!$H$2:$H$381)</f>
        <v>49</v>
      </c>
      <c r="F26" s="10" t="s">
        <v>25</v>
      </c>
    </row>
    <row r="27" customFormat="false" ht="15" hidden="false" customHeight="false" outlineLevel="0" collapsed="false">
      <c r="B27" s="25" t="s">
        <v>127</v>
      </c>
      <c r="C27" s="11" t="n">
        <f aca="false">COUNTIF(Inventory!$E$2:$E$381,$B27)</f>
        <v>3</v>
      </c>
      <c r="D27" s="11" t="n">
        <f aca="false">COUNTIFS(Inventory!$E$2:$E$381,$B27,Inventory!$J$2:$J$381,"Low stock")+COUNTIFS(Inventory!$E$2:$E$381,$B27,Inventory!$J$2:$J$381,"Out of stock")</f>
        <v>0</v>
      </c>
      <c r="E27" s="11" t="n">
        <f aca="false">SUMIF(Inventory!$E$2:$E$381,$B27,Inventory!$H$2:$H$381)</f>
        <v>27</v>
      </c>
      <c r="F27" s="10" t="s">
        <v>72</v>
      </c>
    </row>
    <row r="28" customFormat="false" ht="15" hidden="false" customHeight="false" outlineLevel="0" collapsed="false">
      <c r="B28" s="25" t="s">
        <v>128</v>
      </c>
      <c r="C28" s="11" t="n">
        <f aca="false">COUNTIF(Inventory!$E$2:$E$381,$B28)</f>
        <v>3</v>
      </c>
      <c r="D28" s="11" t="n">
        <f aca="false">COUNTIFS(Inventory!$E$2:$E$381,$B28,Inventory!$J$2:$J$381,"Low stock")+COUNTIFS(Inventory!$E$2:$E$381,$B28,Inventory!$J$2:$J$381,"Out of stock")</f>
        <v>0</v>
      </c>
      <c r="E28" s="11" t="n">
        <f aca="false">SUMIF(Inventory!$E$2:$E$381,$B28,Inventory!$H$2:$H$381)</f>
        <v>383</v>
      </c>
      <c r="F28" s="10" t="s">
        <v>51</v>
      </c>
    </row>
    <row r="29" customFormat="false" ht="15" hidden="false" customHeight="false" outlineLevel="0" collapsed="false">
      <c r="B29" s="25" t="s">
        <v>129</v>
      </c>
      <c r="C29" s="11" t="n">
        <f aca="false">COUNTIF(Inventory!$E$2:$E$381,$B29)</f>
        <v>3</v>
      </c>
      <c r="D29" s="11" t="n">
        <f aca="false">COUNTIFS(Inventory!$E$2:$E$381,$B29,Inventory!$J$2:$J$381,"Low stock")+COUNTIFS(Inventory!$E$2:$E$381,$B29,Inventory!$J$2:$J$381,"Out of stock")</f>
        <v>0</v>
      </c>
      <c r="E29" s="11" t="n">
        <f aca="false">SUMIF(Inventory!$E$2:$E$381,$B29,Inventory!$H$2:$H$381)</f>
        <v>35</v>
      </c>
      <c r="F29" s="10" t="s">
        <v>67</v>
      </c>
    </row>
    <row r="30" customFormat="false" ht="15" hidden="false" customHeight="false" outlineLevel="0" collapsed="false">
      <c r="B30" s="25" t="s">
        <v>130</v>
      </c>
      <c r="C30" s="11" t="n">
        <f aca="false">COUNTIF(Inventory!$E$2:$E$381,$B30)</f>
        <v>3</v>
      </c>
      <c r="D30" s="11" t="n">
        <f aca="false">COUNTIFS(Inventory!$E$2:$E$381,$B30,Inventory!$J$2:$J$381,"Low stock")+COUNTIFS(Inventory!$E$2:$E$381,$B30,Inventory!$J$2:$J$381,"Out of stock")</f>
        <v>1</v>
      </c>
      <c r="E30" s="11" t="n">
        <f aca="false">SUMIF(Inventory!$E$2:$E$381,$B30,Inventory!$H$2:$H$381)</f>
        <v>22</v>
      </c>
      <c r="F30" s="10" t="s">
        <v>51</v>
      </c>
    </row>
    <row r="31" customFormat="false" ht="15" hidden="false" customHeight="false" outlineLevel="0" collapsed="false">
      <c r="B31" s="25" t="s">
        <v>131</v>
      </c>
      <c r="C31" s="11" t="n">
        <f aca="false">COUNTIF(Inventory!$E$2:$E$381,$B31)</f>
        <v>4</v>
      </c>
      <c r="D31" s="11" t="n">
        <f aca="false">COUNTIFS(Inventory!$E$2:$E$381,$B31,Inventory!$J$2:$J$381,"Low stock")+COUNTIFS(Inventory!$E$2:$E$381,$B31,Inventory!$J$2:$J$381,"Out of stock")</f>
        <v>2</v>
      </c>
      <c r="E31" s="11" t="n">
        <f aca="false">SUMIF(Inventory!$E$2:$E$381,$B31,Inventory!$H$2:$H$381)</f>
        <v>18</v>
      </c>
      <c r="F31" s="10" t="s">
        <v>60</v>
      </c>
    </row>
    <row r="32" customFormat="false" ht="15" hidden="false" customHeight="false" outlineLevel="0" collapsed="false">
      <c r="B32" s="25" t="s">
        <v>132</v>
      </c>
      <c r="C32" s="11" t="n">
        <f aca="false">COUNTIF(Inventory!$E$2:$E$381,$B32)</f>
        <v>1</v>
      </c>
      <c r="D32" s="11" t="n">
        <f aca="false">COUNTIFS(Inventory!$E$2:$E$381,$B32,Inventory!$J$2:$J$381,"Low stock")+COUNTIFS(Inventory!$E$2:$E$381,$B32,Inventory!$J$2:$J$381,"Out of stock")</f>
        <v>0</v>
      </c>
      <c r="E32" s="11" t="n">
        <f aca="false">SUMIF(Inventory!$E$2:$E$381,$B32,Inventory!$H$2:$H$381)</f>
        <v>0</v>
      </c>
      <c r="F32" s="10" t="s">
        <v>48</v>
      </c>
    </row>
    <row r="33" customFormat="false" ht="15" hidden="false" customHeight="false" outlineLevel="0" collapsed="false">
      <c r="B33" s="25" t="s">
        <v>133</v>
      </c>
      <c r="C33" s="11" t="n">
        <f aca="false">COUNTIF(Inventory!$E$2:$E$381,$B33)</f>
        <v>1</v>
      </c>
      <c r="D33" s="11" t="n">
        <f aca="false">COUNTIFS(Inventory!$E$2:$E$381,$B33,Inventory!$J$2:$J$381,"Low stock")+COUNTIFS(Inventory!$E$2:$E$381,$B33,Inventory!$J$2:$J$381,"Out of stock")</f>
        <v>0</v>
      </c>
      <c r="E33" s="11" t="n">
        <f aca="false">SUMIF(Inventory!$E$2:$E$381,$B33,Inventory!$H$2:$H$381)</f>
        <v>0</v>
      </c>
      <c r="F33" s="10" t="s">
        <v>48</v>
      </c>
    </row>
    <row r="34" customFormat="false" ht="15" hidden="false" customHeight="false" outlineLevel="0" collapsed="false">
      <c r="B34" s="25" t="s">
        <v>134</v>
      </c>
      <c r="C34" s="11" t="n">
        <f aca="false">COUNTIF(Inventory!$E$2:$E$381,$B34)</f>
        <v>5</v>
      </c>
      <c r="D34" s="11" t="n">
        <f aca="false">COUNTIFS(Inventory!$E$2:$E$381,$B34,Inventory!$J$2:$J$381,"Low stock")+COUNTIFS(Inventory!$E$2:$E$381,$B34,Inventory!$J$2:$J$381,"Out of stock")</f>
        <v>0</v>
      </c>
      <c r="E34" s="11" t="n">
        <f aca="false">SUMIF(Inventory!$E$2:$E$381,$B34,Inventory!$H$2:$H$381)</f>
        <v>282</v>
      </c>
      <c r="F34" s="10" t="s">
        <v>51</v>
      </c>
    </row>
    <row r="35" customFormat="false" ht="15" hidden="false" customHeight="false" outlineLevel="0" collapsed="false">
      <c r="B35" s="25" t="s">
        <v>135</v>
      </c>
      <c r="C35" s="11" t="n">
        <f aca="false">COUNTIF(Inventory!$E$2:$E$381,$B35)</f>
        <v>1</v>
      </c>
      <c r="D35" s="11" t="n">
        <f aca="false">COUNTIFS(Inventory!$E$2:$E$381,$B35,Inventory!$J$2:$J$381,"Low stock")+COUNTIFS(Inventory!$E$2:$E$381,$B35,Inventory!$J$2:$J$381,"Out of stock")</f>
        <v>1</v>
      </c>
      <c r="E35" s="11" t="n">
        <f aca="false">SUMIF(Inventory!$E$2:$E$381,$B35,Inventory!$H$2:$H$381)</f>
        <v>1</v>
      </c>
      <c r="F35" s="10" t="s">
        <v>59</v>
      </c>
    </row>
    <row r="36" customFormat="false" ht="15" hidden="false" customHeight="false" outlineLevel="0" collapsed="false">
      <c r="B36" s="25" t="s">
        <v>136</v>
      </c>
      <c r="C36" s="11" t="n">
        <f aca="false">COUNTIF(Inventory!$E$2:$E$381,$B36)</f>
        <v>10</v>
      </c>
      <c r="D36" s="11" t="n">
        <f aca="false">COUNTIFS(Inventory!$E$2:$E$381,$B36,Inventory!$J$2:$J$381,"Low stock")+COUNTIFS(Inventory!$E$2:$E$381,$B36,Inventory!$J$2:$J$381,"Out of stock")</f>
        <v>0</v>
      </c>
      <c r="E36" s="11" t="n">
        <f aca="false">SUMIF(Inventory!$E$2:$E$381,$B36,Inventory!$H$2:$H$381)</f>
        <v>247</v>
      </c>
      <c r="F36" s="10" t="s">
        <v>50</v>
      </c>
    </row>
    <row r="37" customFormat="false" ht="15" hidden="false" customHeight="false" outlineLevel="0" collapsed="false">
      <c r="B37" s="25" t="s">
        <v>137</v>
      </c>
      <c r="C37" s="11" t="n">
        <f aca="false">COUNTIF(Inventory!$E$2:$E$381,$B37)</f>
        <v>6</v>
      </c>
      <c r="D37" s="11" t="n">
        <f aca="false">COUNTIFS(Inventory!$E$2:$E$381,$B37,Inventory!$J$2:$J$381,"Low stock")+COUNTIFS(Inventory!$E$2:$E$381,$B37,Inventory!$J$2:$J$381,"Out of stock")</f>
        <v>0</v>
      </c>
      <c r="E37" s="11" t="n">
        <f aca="false">SUMIF(Inventory!$E$2:$E$381,$B37,Inventory!$H$2:$H$381)</f>
        <v>125</v>
      </c>
      <c r="F37" s="10" t="s">
        <v>50</v>
      </c>
    </row>
    <row r="38" customFormat="false" ht="15" hidden="false" customHeight="false" outlineLevel="0" collapsed="false">
      <c r="B38" s="25" t="s">
        <v>138</v>
      </c>
      <c r="C38" s="11" t="n">
        <f aca="false">COUNTIF(Inventory!$E$2:$E$381,$B38)</f>
        <v>8</v>
      </c>
      <c r="D38" s="11" t="n">
        <f aca="false">COUNTIFS(Inventory!$E$2:$E$381,$B38,Inventory!$J$2:$J$381,"Low stock")+COUNTIFS(Inventory!$E$2:$E$381,$B38,Inventory!$J$2:$J$381,"Out of stock")</f>
        <v>1</v>
      </c>
      <c r="E38" s="11" t="n">
        <f aca="false">SUMIF(Inventory!$E$2:$E$381,$B38,Inventory!$H$2:$H$381)</f>
        <v>149</v>
      </c>
      <c r="F38" s="10" t="s">
        <v>50</v>
      </c>
    </row>
    <row r="39" customFormat="false" ht="15" hidden="false" customHeight="false" outlineLevel="0" collapsed="false">
      <c r="B39" s="25" t="s">
        <v>139</v>
      </c>
      <c r="C39" s="11" t="n">
        <f aca="false">COUNTIF(Inventory!$E$2:$E$381,$B39)</f>
        <v>6</v>
      </c>
      <c r="D39" s="11" t="n">
        <f aca="false">COUNTIFS(Inventory!$E$2:$E$381,$B39,Inventory!$J$2:$J$381,"Low stock")+COUNTIFS(Inventory!$E$2:$E$381,$B39,Inventory!$J$2:$J$381,"Out of stock")</f>
        <v>0</v>
      </c>
      <c r="E39" s="11" t="n">
        <f aca="false">SUMIF(Inventory!$E$2:$E$381,$B39,Inventory!$H$2:$H$381)</f>
        <v>242</v>
      </c>
      <c r="F39" s="10" t="s">
        <v>50</v>
      </c>
    </row>
    <row r="40" customFormat="false" ht="15" hidden="false" customHeight="false" outlineLevel="0" collapsed="false">
      <c r="B40" s="25" t="s">
        <v>140</v>
      </c>
      <c r="C40" s="11" t="n">
        <f aca="false">COUNTIF(Inventory!$E$2:$E$381,$B40)</f>
        <v>15</v>
      </c>
      <c r="D40" s="11" t="n">
        <f aca="false">COUNTIFS(Inventory!$E$2:$E$381,$B40,Inventory!$J$2:$J$381,"Low stock")+COUNTIFS(Inventory!$E$2:$E$381,$B40,Inventory!$J$2:$J$381,"Out of stock")</f>
        <v>11</v>
      </c>
      <c r="E40" s="11" t="n">
        <f aca="false">SUMIF(Inventory!$E$2:$E$381,$B40,Inventory!$H$2:$H$381)</f>
        <v>76</v>
      </c>
      <c r="F40" s="10" t="s">
        <v>50</v>
      </c>
    </row>
    <row r="41" customFormat="false" ht="15" hidden="false" customHeight="false" outlineLevel="0" collapsed="false">
      <c r="B41" s="25" t="s">
        <v>141</v>
      </c>
      <c r="C41" s="11" t="n">
        <f aca="false">COUNTIF(Inventory!$E$2:$E$381,$B41)</f>
        <v>7</v>
      </c>
      <c r="D41" s="11" t="n">
        <f aca="false">COUNTIFS(Inventory!$E$2:$E$381,$B41,Inventory!$J$2:$J$381,"Low stock")+COUNTIFS(Inventory!$E$2:$E$381,$B41,Inventory!$J$2:$J$381,"Out of stock")</f>
        <v>3</v>
      </c>
      <c r="E41" s="11" t="n">
        <f aca="false">SUMIF(Inventory!$E$2:$E$381,$B41,Inventory!$H$2:$H$381)</f>
        <v>53</v>
      </c>
      <c r="F41" s="10" t="s">
        <v>50</v>
      </c>
    </row>
    <row r="42" customFormat="false" ht="15" hidden="false" customHeight="false" outlineLevel="0" collapsed="false">
      <c r="B42" s="25" t="s">
        <v>142</v>
      </c>
      <c r="C42" s="11" t="n">
        <f aca="false">COUNTIF(Inventory!$E$2:$E$381,$B42)</f>
        <v>5</v>
      </c>
      <c r="D42" s="11" t="n">
        <f aca="false">COUNTIFS(Inventory!$E$2:$E$381,$B42,Inventory!$J$2:$J$381,"Low stock")+COUNTIFS(Inventory!$E$2:$E$381,$B42,Inventory!$J$2:$J$381,"Out of stock")</f>
        <v>1</v>
      </c>
      <c r="E42" s="11" t="n">
        <f aca="false">SUMIF(Inventory!$E$2:$E$381,$B42,Inventory!$H$2:$H$381)</f>
        <v>23</v>
      </c>
      <c r="F42" s="10" t="s">
        <v>50</v>
      </c>
    </row>
    <row r="43" customFormat="false" ht="15" hidden="false" customHeight="false" outlineLevel="0" collapsed="false">
      <c r="B43" s="25" t="s">
        <v>143</v>
      </c>
      <c r="C43" s="11" t="n">
        <f aca="false">COUNTIF(Inventory!$E$2:$E$381,$B43)</f>
        <v>2</v>
      </c>
      <c r="D43" s="11" t="n">
        <f aca="false">COUNTIFS(Inventory!$E$2:$E$381,$B43,Inventory!$J$2:$J$381,"Low stock")+COUNTIFS(Inventory!$E$2:$E$381,$B43,Inventory!$J$2:$J$381,"Out of stock")</f>
        <v>0</v>
      </c>
      <c r="E43" s="11" t="n">
        <f aca="false">SUMIF(Inventory!$E$2:$E$381,$B43,Inventory!$H$2:$H$381)</f>
        <v>17</v>
      </c>
      <c r="F43" s="10" t="s">
        <v>43</v>
      </c>
    </row>
    <row r="44" customFormat="false" ht="15" hidden="false" customHeight="false" outlineLevel="0" collapsed="false">
      <c r="B44" s="25" t="s">
        <v>144</v>
      </c>
      <c r="C44" s="11" t="n">
        <f aca="false">COUNTIF(Inventory!$E$2:$E$381,$B44)</f>
        <v>1</v>
      </c>
      <c r="D44" s="11" t="n">
        <f aca="false">COUNTIFS(Inventory!$E$2:$E$381,$B44,Inventory!$J$2:$J$381,"Low stock")+COUNTIFS(Inventory!$E$2:$E$381,$B44,Inventory!$J$2:$J$381,"Out of stock")</f>
        <v>0</v>
      </c>
      <c r="E44" s="11" t="n">
        <f aca="false">SUMIF(Inventory!$E$2:$E$381,$B44,Inventory!$H$2:$H$381)</f>
        <v>0</v>
      </c>
      <c r="F44" s="10" t="s">
        <v>40</v>
      </c>
    </row>
    <row r="45" customFormat="false" ht="15" hidden="false" customHeight="false" outlineLevel="0" collapsed="false">
      <c r="B45" s="25" t="s">
        <v>145</v>
      </c>
      <c r="C45" s="11" t="n">
        <f aca="false">COUNTIF(Inventory!$E$2:$E$381,$B45)</f>
        <v>4</v>
      </c>
      <c r="D45" s="11" t="n">
        <f aca="false">COUNTIFS(Inventory!$E$2:$E$381,$B45,Inventory!$J$2:$J$381,"Low stock")+COUNTIFS(Inventory!$E$2:$E$381,$B45,Inventory!$J$2:$J$381,"Out of stock")</f>
        <v>0</v>
      </c>
      <c r="E45" s="11" t="n">
        <f aca="false">SUMIF(Inventory!$E$2:$E$381,$B45,Inventory!$H$2:$H$381)</f>
        <v>11</v>
      </c>
      <c r="F45" s="10" t="s">
        <v>56</v>
      </c>
    </row>
    <row r="46" customFormat="false" ht="15" hidden="false" customHeight="false" outlineLevel="0" collapsed="false">
      <c r="B46" s="25" t="s">
        <v>146</v>
      </c>
      <c r="C46" s="11" t="n">
        <f aca="false">COUNTIF(Inventory!$E$2:$E$381,$B46)</f>
        <v>2</v>
      </c>
      <c r="D46" s="11" t="n">
        <f aca="false">COUNTIFS(Inventory!$E$2:$E$381,$B46,Inventory!$J$2:$J$381,"Low stock")+COUNTIFS(Inventory!$E$2:$E$381,$B46,Inventory!$J$2:$J$381,"Out of stock")</f>
        <v>0</v>
      </c>
      <c r="E46" s="11" t="n">
        <f aca="false">SUMIF(Inventory!$E$2:$E$381,$B46,Inventory!$H$2:$H$381)</f>
        <v>11</v>
      </c>
      <c r="F46" s="10" t="s">
        <v>56</v>
      </c>
    </row>
    <row r="47" customFormat="false" ht="15" hidden="false" customHeight="false" outlineLevel="0" collapsed="false">
      <c r="B47" s="25" t="s">
        <v>147</v>
      </c>
      <c r="C47" s="11" t="n">
        <f aca="false">COUNTIF(Inventory!$E$2:$E$381,$B47)</f>
        <v>1</v>
      </c>
      <c r="D47" s="11" t="n">
        <f aca="false">COUNTIFS(Inventory!$E$2:$E$381,$B47,Inventory!$J$2:$J$381,"Low stock")+COUNTIFS(Inventory!$E$2:$E$381,$B47,Inventory!$J$2:$J$381,"Out of stock")</f>
        <v>0</v>
      </c>
      <c r="E47" s="11" t="n">
        <f aca="false">SUMIF(Inventory!$E$2:$E$381,$B47,Inventory!$H$2:$H$381)</f>
        <v>0</v>
      </c>
      <c r="F47" s="10" t="s">
        <v>53</v>
      </c>
    </row>
    <row r="48" customFormat="false" ht="15" hidden="false" customHeight="false" outlineLevel="0" collapsed="false">
      <c r="B48" s="25" t="s">
        <v>148</v>
      </c>
      <c r="C48" s="11" t="n">
        <f aca="false">COUNTIF(Inventory!$E$2:$E$381,$B48)</f>
        <v>1</v>
      </c>
      <c r="D48" s="11" t="n">
        <f aca="false">COUNTIFS(Inventory!$E$2:$E$381,$B48,Inventory!$J$2:$J$381,"Low stock")+COUNTIFS(Inventory!$E$2:$E$381,$B48,Inventory!$J$2:$J$381,"Out of stock")</f>
        <v>0</v>
      </c>
      <c r="E48" s="11" t="n">
        <f aca="false">SUMIF(Inventory!$E$2:$E$381,$B48,Inventory!$H$2:$H$381)</f>
        <v>0</v>
      </c>
      <c r="F48" s="10" t="s">
        <v>53</v>
      </c>
    </row>
    <row r="49" customFormat="false" ht="15" hidden="false" customHeight="false" outlineLevel="0" collapsed="false">
      <c r="B49" s="25" t="s">
        <v>149</v>
      </c>
      <c r="C49" s="11" t="n">
        <f aca="false">COUNTIF(Inventory!$E$2:$E$381,$B49)</f>
        <v>2</v>
      </c>
      <c r="D49" s="11" t="n">
        <f aca="false">COUNTIFS(Inventory!$E$2:$E$381,$B49,Inventory!$J$2:$J$381,"Low stock")+COUNTIFS(Inventory!$E$2:$E$381,$B49,Inventory!$J$2:$J$381,"Out of stock")</f>
        <v>0</v>
      </c>
      <c r="E49" s="11" t="n">
        <f aca="false">SUMIF(Inventory!$E$2:$E$381,$B49,Inventory!$H$2:$H$381)</f>
        <v>5</v>
      </c>
      <c r="F49" s="10" t="s">
        <v>53</v>
      </c>
    </row>
    <row r="50" customFormat="false" ht="15" hidden="false" customHeight="false" outlineLevel="0" collapsed="false">
      <c r="B50" s="25" t="s">
        <v>150</v>
      </c>
      <c r="C50" s="11" t="n">
        <f aca="false">COUNTIF(Inventory!$E$2:$E$381,$B50)</f>
        <v>1</v>
      </c>
      <c r="D50" s="11" t="n">
        <f aca="false">COUNTIFS(Inventory!$E$2:$E$381,$B50,Inventory!$J$2:$J$381,"Low stock")+COUNTIFS(Inventory!$E$2:$E$381,$B50,Inventory!$J$2:$J$381,"Out of stock")</f>
        <v>0</v>
      </c>
      <c r="E50" s="11" t="n">
        <f aca="false">SUMIF(Inventory!$E$2:$E$381,$B50,Inventory!$H$2:$H$381)</f>
        <v>14</v>
      </c>
      <c r="F50" s="10" t="s">
        <v>43</v>
      </c>
    </row>
    <row r="51" customFormat="false" ht="15" hidden="false" customHeight="false" outlineLevel="0" collapsed="false">
      <c r="B51" s="25" t="s">
        <v>151</v>
      </c>
      <c r="C51" s="11" t="n">
        <f aca="false">COUNTIF(Inventory!$E$2:$E$381,$B51)</f>
        <v>1</v>
      </c>
      <c r="D51" s="11" t="n">
        <f aca="false">COUNTIFS(Inventory!$E$2:$E$381,$B51,Inventory!$J$2:$J$381,"Low stock")+COUNTIFS(Inventory!$E$2:$E$381,$B51,Inventory!$J$2:$J$381,"Out of stock")</f>
        <v>0</v>
      </c>
      <c r="E51" s="11" t="n">
        <f aca="false">SUMIF(Inventory!$E$2:$E$381,$B51,Inventory!$H$2:$H$381)</f>
        <v>10</v>
      </c>
      <c r="F51" s="10" t="s">
        <v>31</v>
      </c>
    </row>
    <row r="52" customFormat="false" ht="15" hidden="false" customHeight="false" outlineLevel="0" collapsed="false">
      <c r="B52" s="25" t="s">
        <v>152</v>
      </c>
      <c r="C52" s="11" t="n">
        <f aca="false">COUNTIF(Inventory!$E$2:$E$381,$B52)</f>
        <v>2</v>
      </c>
      <c r="D52" s="11" t="n">
        <f aca="false">COUNTIFS(Inventory!$E$2:$E$381,$B52,Inventory!$J$2:$J$381,"Low stock")+COUNTIFS(Inventory!$E$2:$E$381,$B52,Inventory!$J$2:$J$381,"Out of stock")</f>
        <v>0</v>
      </c>
      <c r="E52" s="11" t="n">
        <f aca="false">SUMIF(Inventory!$E$2:$E$381,$B52,Inventory!$H$2:$H$381)</f>
        <v>8</v>
      </c>
      <c r="F52" s="10" t="s">
        <v>31</v>
      </c>
    </row>
    <row r="53" customFormat="false" ht="15" hidden="false" customHeight="false" outlineLevel="0" collapsed="false">
      <c r="B53" s="25" t="s">
        <v>153</v>
      </c>
      <c r="C53" s="11" t="n">
        <f aca="false">COUNTIF(Inventory!$E$2:$E$381,$B53)</f>
        <v>1</v>
      </c>
      <c r="D53" s="11" t="n">
        <f aca="false">COUNTIFS(Inventory!$E$2:$E$381,$B53,Inventory!$J$2:$J$381,"Low stock")+COUNTIFS(Inventory!$E$2:$E$381,$B53,Inventory!$J$2:$J$381,"Out of stock")</f>
        <v>0</v>
      </c>
      <c r="E53" s="11" t="n">
        <f aca="false">SUMIF(Inventory!$E$2:$E$381,$B53,Inventory!$H$2:$H$381)</f>
        <v>0</v>
      </c>
      <c r="F53" s="10" t="s">
        <v>31</v>
      </c>
    </row>
    <row r="54" customFormat="false" ht="15" hidden="false" customHeight="false" outlineLevel="0" collapsed="false">
      <c r="B54" s="25" t="s">
        <v>154</v>
      </c>
      <c r="C54" s="11" t="n">
        <f aca="false">COUNTIF(Inventory!$E$2:$E$381,$B54)</f>
        <v>1</v>
      </c>
      <c r="D54" s="11" t="n">
        <f aca="false">COUNTIFS(Inventory!$E$2:$E$381,$B54,Inventory!$J$2:$J$381,"Low stock")+COUNTIFS(Inventory!$E$2:$E$381,$B54,Inventory!$J$2:$J$381,"Out of stock")</f>
        <v>0</v>
      </c>
      <c r="E54" s="11" t="n">
        <f aca="false">SUMIF(Inventory!$E$2:$E$381,$B54,Inventory!$H$2:$H$381)</f>
        <v>47</v>
      </c>
      <c r="F54" s="10" t="s">
        <v>60</v>
      </c>
    </row>
    <row r="55" customFormat="false" ht="15" hidden="false" customHeight="false" outlineLevel="0" collapsed="false">
      <c r="B55" s="25" t="s">
        <v>155</v>
      </c>
      <c r="C55" s="11" t="n">
        <f aca="false">COUNTIF(Inventory!$E$2:$E$381,$B55)</f>
        <v>3</v>
      </c>
      <c r="D55" s="11" t="n">
        <f aca="false">COUNTIFS(Inventory!$E$2:$E$381,$B55,Inventory!$J$2:$J$381,"Low stock")+COUNTIFS(Inventory!$E$2:$E$381,$B55,Inventory!$J$2:$J$381,"Out of stock")</f>
        <v>0</v>
      </c>
      <c r="E55" s="11" t="n">
        <f aca="false">SUMIF(Inventory!$E$2:$E$381,$B55,Inventory!$H$2:$H$381)</f>
        <v>29</v>
      </c>
      <c r="F55" s="10" t="s">
        <v>67</v>
      </c>
    </row>
    <row r="56" customFormat="false" ht="15" hidden="false" customHeight="false" outlineLevel="0" collapsed="false">
      <c r="B56" s="25" t="s">
        <v>156</v>
      </c>
      <c r="C56" s="11" t="n">
        <f aca="false">COUNTIF(Inventory!$E$2:$E$381,$B56)</f>
        <v>1</v>
      </c>
      <c r="D56" s="11" t="n">
        <f aca="false">COUNTIFS(Inventory!$E$2:$E$381,$B56,Inventory!$J$2:$J$381,"Low stock")+COUNTIFS(Inventory!$E$2:$E$381,$B56,Inventory!$J$2:$J$381,"Out of stock")</f>
        <v>0</v>
      </c>
      <c r="E56" s="11" t="n">
        <f aca="false">SUMIF(Inventory!$E$2:$E$381,$B56,Inventory!$H$2:$H$381)</f>
        <v>3</v>
      </c>
      <c r="F56" s="10" t="s">
        <v>25</v>
      </c>
    </row>
    <row r="57" customFormat="false" ht="15" hidden="false" customHeight="false" outlineLevel="0" collapsed="false">
      <c r="B57" s="25" t="s">
        <v>157</v>
      </c>
      <c r="C57" s="11" t="n">
        <f aca="false">COUNTIF(Inventory!$E$2:$E$381,$B57)</f>
        <v>3</v>
      </c>
      <c r="D57" s="11" t="n">
        <f aca="false">COUNTIFS(Inventory!$E$2:$E$381,$B57,Inventory!$J$2:$J$381,"Low stock")+COUNTIFS(Inventory!$E$2:$E$381,$B57,Inventory!$J$2:$J$381,"Out of stock")</f>
        <v>1</v>
      </c>
      <c r="E57" s="11" t="n">
        <f aca="false">SUMIF(Inventory!$E$2:$E$381,$B57,Inventory!$H$2:$H$381)</f>
        <v>22</v>
      </c>
      <c r="F57" s="10" t="s">
        <v>31</v>
      </c>
    </row>
    <row r="58" customFormat="false" ht="15" hidden="false" customHeight="false" outlineLevel="0" collapsed="false">
      <c r="B58" s="25" t="s">
        <v>158</v>
      </c>
      <c r="C58" s="11" t="n">
        <f aca="false">COUNTIF(Inventory!$E$2:$E$381,$B58)</f>
        <v>1</v>
      </c>
      <c r="D58" s="11" t="n">
        <f aca="false">COUNTIFS(Inventory!$E$2:$E$381,$B58,Inventory!$J$2:$J$381,"Low stock")+COUNTIFS(Inventory!$E$2:$E$381,$B58,Inventory!$J$2:$J$381,"Out of stock")</f>
        <v>0</v>
      </c>
      <c r="E58" s="11" t="n">
        <f aca="false">SUMIF(Inventory!$E$2:$E$381,$B58,Inventory!$H$2:$H$381)</f>
        <v>0</v>
      </c>
      <c r="F58" s="10" t="s">
        <v>40</v>
      </c>
    </row>
    <row r="59" customFormat="false" ht="15" hidden="false" customHeight="false" outlineLevel="0" collapsed="false">
      <c r="B59" s="25" t="s">
        <v>159</v>
      </c>
      <c r="C59" s="11" t="n">
        <f aca="false">COUNTIF(Inventory!$E$2:$E$381,$B59)</f>
        <v>1</v>
      </c>
      <c r="D59" s="11" t="n">
        <f aca="false">COUNTIFS(Inventory!$E$2:$E$381,$B59,Inventory!$J$2:$J$381,"Low stock")+COUNTIFS(Inventory!$E$2:$E$381,$B59,Inventory!$J$2:$J$381,"Out of stock")</f>
        <v>0</v>
      </c>
      <c r="E59" s="11" t="n">
        <f aca="false">SUMIF(Inventory!$E$2:$E$381,$B59,Inventory!$H$2:$H$381)</f>
        <v>5</v>
      </c>
      <c r="F59" s="10" t="s">
        <v>31</v>
      </c>
    </row>
    <row r="60" customFormat="false" ht="15" hidden="false" customHeight="false" outlineLevel="0" collapsed="false">
      <c r="B60" s="25" t="s">
        <v>160</v>
      </c>
      <c r="C60" s="11" t="n">
        <f aca="false">COUNTIF(Inventory!$E$2:$E$381,$B60)</f>
        <v>1</v>
      </c>
      <c r="D60" s="11" t="n">
        <f aca="false">COUNTIFS(Inventory!$E$2:$E$381,$B60,Inventory!$J$2:$J$381,"Low stock")+COUNTIFS(Inventory!$E$2:$E$381,$B60,Inventory!$J$2:$J$381,"Out of stock")</f>
        <v>0</v>
      </c>
      <c r="E60" s="11" t="n">
        <f aca="false">SUMIF(Inventory!$E$2:$E$381,$B60,Inventory!$H$2:$H$381)</f>
        <v>5</v>
      </c>
      <c r="F60" s="10" t="s">
        <v>60</v>
      </c>
    </row>
    <row r="61" customFormat="false" ht="15" hidden="false" customHeight="false" outlineLevel="0" collapsed="false">
      <c r="B61" s="25" t="s">
        <v>161</v>
      </c>
      <c r="C61" s="11" t="n">
        <f aca="false">COUNTIF(Inventory!$E$2:$E$381,$B61)</f>
        <v>18</v>
      </c>
      <c r="D61" s="11" t="n">
        <f aca="false">COUNTIFS(Inventory!$E$2:$E$381,$B61,Inventory!$J$2:$J$381,"Low stock")+COUNTIFS(Inventory!$E$2:$E$381,$B61,Inventory!$J$2:$J$381,"Out of stock")</f>
        <v>7</v>
      </c>
      <c r="E61" s="11" t="n">
        <f aca="false">SUMIF(Inventory!$E$2:$E$381,$B61,Inventory!$H$2:$H$381)</f>
        <v>1097</v>
      </c>
      <c r="F61" s="10" t="s">
        <v>68</v>
      </c>
    </row>
    <row r="62" customFormat="false" ht="15" hidden="false" customHeight="false" outlineLevel="0" collapsed="false">
      <c r="B62" s="25" t="s">
        <v>162</v>
      </c>
      <c r="C62" s="11" t="n">
        <f aca="false">COUNTIF(Inventory!$E$2:$E$381,$B62)</f>
        <v>63</v>
      </c>
      <c r="D62" s="11" t="n">
        <f aca="false">COUNTIFS(Inventory!$E$2:$E$381,$B62,Inventory!$J$2:$J$381,"Low stock")+COUNTIFS(Inventory!$E$2:$E$381,$B62,Inventory!$J$2:$J$381,"Out of stock")</f>
        <v>36</v>
      </c>
      <c r="E62" s="11" t="n">
        <f aca="false">SUMIF(Inventory!$E$2:$E$381,$B62,Inventory!$H$2:$H$381)</f>
        <v>407</v>
      </c>
      <c r="F62" s="10" t="s">
        <v>37</v>
      </c>
    </row>
    <row r="63" customFormat="false" ht="15" hidden="false" customHeight="false" outlineLevel="0" collapsed="false">
      <c r="B63" s="25" t="s">
        <v>163</v>
      </c>
      <c r="C63" s="11" t="n">
        <f aca="false">COUNTIF(Inventory!$E$2:$E$381,$B63)</f>
        <v>49</v>
      </c>
      <c r="D63" s="11" t="n">
        <f aca="false">COUNTIFS(Inventory!$E$2:$E$381,$B63,Inventory!$J$2:$J$381,"Low stock")+COUNTIFS(Inventory!$E$2:$E$381,$B63,Inventory!$J$2:$J$381,"Out of stock")</f>
        <v>5</v>
      </c>
      <c r="E63" s="11" t="n">
        <f aca="false">SUMIF(Inventory!$E$2:$E$381,$B63,Inventory!$H$2:$H$381)</f>
        <v>210</v>
      </c>
      <c r="F63" s="10" t="s">
        <v>70</v>
      </c>
    </row>
  </sheetData>
  <mergeCells count="1">
    <mergeCell ref="B2:F2"/>
  </mergeCells>
  <conditionalFormatting sqref="B6:F63">
    <cfRule type="expression" priority="2" aboveAverage="0" equalAverage="0" bottom="0" percent="0" rank="0" text="" dxfId="0">
      <formula>$D6&gt;0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9"/>
    <col collapsed="false" customWidth="true" hidden="false" outlineLevel="0" max="4" min="4" style="0" width="22"/>
  </cols>
  <sheetData>
    <row r="2" customFormat="false" ht="30" hidden="false" customHeight="true" outlineLevel="0" collapsed="false">
      <c r="B2" s="1" t="s">
        <v>164</v>
      </c>
      <c r="C2" s="1"/>
      <c r="D2" s="1"/>
      <c r="E2" s="1"/>
    </row>
    <row r="3" customFormat="false" ht="15" hidden="false" customHeight="false" outlineLevel="0" collapsed="false">
      <c r="B3" s="2" t="s">
        <v>165</v>
      </c>
    </row>
    <row r="5" customFormat="false" ht="15" hidden="false" customHeight="false" outlineLevel="0" collapsed="false">
      <c r="B5" s="7" t="s">
        <v>16</v>
      </c>
      <c r="C5" s="7" t="s">
        <v>166</v>
      </c>
      <c r="D5" s="7" t="s">
        <v>167</v>
      </c>
    </row>
    <row r="6" customFormat="false" ht="15" hidden="false" customHeight="false" outlineLevel="0" collapsed="false">
      <c r="B6" s="10" t="s">
        <v>22</v>
      </c>
      <c r="C6" s="23" t="n">
        <v>1</v>
      </c>
      <c r="D6" s="11" t="n">
        <f aca="false">COUNTIF(Inventory!$C$2:$C$381,$B6)</f>
        <v>2</v>
      </c>
    </row>
    <row r="7" customFormat="false" ht="15" hidden="false" customHeight="false" outlineLevel="0" collapsed="false">
      <c r="B7" s="10" t="s">
        <v>25</v>
      </c>
      <c r="C7" s="23" t="n">
        <v>2</v>
      </c>
      <c r="D7" s="11" t="n">
        <f aca="false">COUNTIF(Inventory!$C$2:$C$381,$B7)</f>
        <v>10</v>
      </c>
    </row>
    <row r="8" customFormat="false" ht="15" hidden="false" customHeight="false" outlineLevel="0" collapsed="false">
      <c r="B8" s="10" t="s">
        <v>28</v>
      </c>
      <c r="C8" s="23" t="n">
        <v>1</v>
      </c>
      <c r="D8" s="11" t="n">
        <f aca="false">COUNTIF(Inventory!$C$2:$C$381,$B8)</f>
        <v>1</v>
      </c>
    </row>
    <row r="9" customFormat="false" ht="15" hidden="false" customHeight="false" outlineLevel="0" collapsed="false">
      <c r="B9" s="10" t="s">
        <v>31</v>
      </c>
      <c r="C9" s="23" t="n">
        <v>2</v>
      </c>
      <c r="D9" s="11" t="n">
        <f aca="false">COUNTIF(Inventory!$C$2:$C$381,$B9)</f>
        <v>7</v>
      </c>
    </row>
    <row r="10" customFormat="false" ht="15" hidden="false" customHeight="false" outlineLevel="0" collapsed="false">
      <c r="B10" s="10" t="s">
        <v>34</v>
      </c>
      <c r="C10" s="23" t="n">
        <v>1</v>
      </c>
      <c r="D10" s="11" t="n">
        <f aca="false">COUNTIF(Inventory!$C$2:$C$381,$B10)</f>
        <v>1</v>
      </c>
    </row>
    <row r="11" customFormat="false" ht="15" hidden="false" customHeight="false" outlineLevel="0" collapsed="false">
      <c r="B11" s="10" t="s">
        <v>37</v>
      </c>
      <c r="C11" s="23" t="n">
        <v>10</v>
      </c>
      <c r="D11" s="11" t="n">
        <f aca="false">COUNTIF(Inventory!$C$2:$C$381,$B11)</f>
        <v>38</v>
      </c>
    </row>
    <row r="12" customFormat="false" ht="15" hidden="false" customHeight="false" outlineLevel="0" collapsed="false">
      <c r="B12" s="10" t="s">
        <v>38</v>
      </c>
      <c r="C12" s="23" t="n">
        <v>1</v>
      </c>
      <c r="D12" s="11" t="n">
        <f aca="false">COUNTIF(Inventory!$C$2:$C$381,$B12)</f>
        <v>1</v>
      </c>
    </row>
    <row r="13" customFormat="false" ht="15" hidden="false" customHeight="false" outlineLevel="0" collapsed="false">
      <c r="B13" s="10" t="s">
        <v>40</v>
      </c>
      <c r="C13" s="23" t="n">
        <v>4</v>
      </c>
      <c r="D13" s="11" t="n">
        <f aca="false">COUNTIF(Inventory!$C$2:$C$381,$B13)</f>
        <v>11</v>
      </c>
    </row>
    <row r="14" customFormat="false" ht="15" hidden="false" customHeight="false" outlineLevel="0" collapsed="false">
      <c r="B14" s="10" t="s">
        <v>41</v>
      </c>
      <c r="C14" s="23" t="n">
        <v>1</v>
      </c>
      <c r="D14" s="11" t="n">
        <f aca="false">COUNTIF(Inventory!$C$2:$C$381,$B14)</f>
        <v>3</v>
      </c>
    </row>
    <row r="15" customFormat="false" ht="15" hidden="false" customHeight="false" outlineLevel="0" collapsed="false">
      <c r="B15" s="10" t="s">
        <v>42</v>
      </c>
      <c r="C15" s="23" t="n">
        <v>5</v>
      </c>
      <c r="D15" s="11" t="n">
        <f aca="false">COUNTIF(Inventory!$C$2:$C$381,$B15)</f>
        <v>5</v>
      </c>
    </row>
    <row r="16" customFormat="false" ht="15" hidden="false" customHeight="false" outlineLevel="0" collapsed="false">
      <c r="B16" s="10" t="s">
        <v>43</v>
      </c>
      <c r="C16" s="23" t="n">
        <v>1</v>
      </c>
      <c r="D16" s="11" t="n">
        <f aca="false">COUNTIF(Inventory!$C$2:$C$381,$B16)</f>
        <v>4</v>
      </c>
    </row>
    <row r="17" customFormat="false" ht="15" hidden="false" customHeight="false" outlineLevel="0" collapsed="false">
      <c r="B17" s="10" t="s">
        <v>44</v>
      </c>
      <c r="C17" s="23" t="n">
        <v>1</v>
      </c>
      <c r="D17" s="11" t="n">
        <f aca="false">COUNTIF(Inventory!$C$2:$C$381,$B17)</f>
        <v>1</v>
      </c>
    </row>
    <row r="18" customFormat="false" ht="15" hidden="false" customHeight="false" outlineLevel="0" collapsed="false">
      <c r="B18" s="10" t="s">
        <v>45</v>
      </c>
      <c r="C18" s="23" t="n">
        <v>1</v>
      </c>
      <c r="D18" s="11" t="n">
        <f aca="false">COUNTIF(Inventory!$C$2:$C$381,$B18)</f>
        <v>1</v>
      </c>
    </row>
    <row r="19" customFormat="false" ht="15" hidden="false" customHeight="false" outlineLevel="0" collapsed="false">
      <c r="B19" s="10" t="s">
        <v>46</v>
      </c>
      <c r="C19" s="23" t="n">
        <v>4</v>
      </c>
      <c r="D19" s="11" t="n">
        <f aca="false">COUNTIF(Inventory!$C$2:$C$381,$B19)</f>
        <v>2</v>
      </c>
    </row>
    <row r="20" customFormat="false" ht="15" hidden="false" customHeight="false" outlineLevel="0" collapsed="false">
      <c r="B20" s="10" t="s">
        <v>47</v>
      </c>
      <c r="C20" s="23" t="n">
        <v>4</v>
      </c>
      <c r="D20" s="11" t="n">
        <f aca="false">COUNTIF(Inventory!$C$2:$C$381,$B20)</f>
        <v>1</v>
      </c>
    </row>
    <row r="21" customFormat="false" ht="15" hidden="false" customHeight="false" outlineLevel="0" collapsed="false">
      <c r="B21" s="10" t="s">
        <v>48</v>
      </c>
      <c r="C21" s="23" t="n">
        <v>5</v>
      </c>
      <c r="D21" s="11" t="n">
        <f aca="false">COUNTIF(Inventory!$C$2:$C$381,$B21)</f>
        <v>3</v>
      </c>
    </row>
    <row r="22" customFormat="false" ht="15" hidden="false" customHeight="false" outlineLevel="0" collapsed="false">
      <c r="B22" s="10" t="s">
        <v>49</v>
      </c>
      <c r="C22" s="23" t="n">
        <v>4</v>
      </c>
      <c r="D22" s="11" t="n">
        <f aca="false">COUNTIF(Inventory!$C$2:$C$381,$B22)</f>
        <v>2</v>
      </c>
    </row>
    <row r="23" customFormat="false" ht="15" hidden="false" customHeight="false" outlineLevel="0" collapsed="false">
      <c r="B23" s="10" t="s">
        <v>50</v>
      </c>
      <c r="C23" s="23" t="n">
        <v>4</v>
      </c>
      <c r="D23" s="11" t="n">
        <f aca="false">COUNTIF(Inventory!$C$2:$C$381,$B23)</f>
        <v>60</v>
      </c>
    </row>
    <row r="24" customFormat="false" ht="15" hidden="false" customHeight="false" outlineLevel="0" collapsed="false">
      <c r="B24" s="10" t="s">
        <v>51</v>
      </c>
      <c r="C24" s="23" t="n">
        <v>5</v>
      </c>
      <c r="D24" s="11" t="n">
        <f aca="false">COUNTIF(Inventory!$C$2:$C$381,$B24)</f>
        <v>10</v>
      </c>
    </row>
    <row r="25" customFormat="false" ht="15" hidden="false" customHeight="false" outlineLevel="0" collapsed="false">
      <c r="B25" s="10" t="s">
        <v>52</v>
      </c>
      <c r="C25" s="23" t="n">
        <v>5</v>
      </c>
      <c r="D25" s="11" t="n">
        <f aca="false">COUNTIF(Inventory!$C$2:$C$381,$B25)</f>
        <v>5</v>
      </c>
    </row>
    <row r="26" customFormat="false" ht="15" hidden="false" customHeight="false" outlineLevel="0" collapsed="false">
      <c r="B26" s="10" t="s">
        <v>53</v>
      </c>
      <c r="C26" s="23" t="n">
        <v>5</v>
      </c>
      <c r="D26" s="11" t="n">
        <f aca="false">COUNTIF(Inventory!$C$2:$C$381,$B26)</f>
        <v>5</v>
      </c>
    </row>
    <row r="27" customFormat="false" ht="15" hidden="false" customHeight="false" outlineLevel="0" collapsed="false">
      <c r="B27" s="10" t="s">
        <v>54</v>
      </c>
      <c r="C27" s="23" t="n">
        <v>5</v>
      </c>
      <c r="D27" s="11" t="n">
        <f aca="false">COUNTIF(Inventory!$C$2:$C$381,$B27)</f>
        <v>10</v>
      </c>
    </row>
    <row r="28" customFormat="false" ht="15" hidden="false" customHeight="false" outlineLevel="0" collapsed="false">
      <c r="B28" s="10" t="s">
        <v>55</v>
      </c>
      <c r="C28" s="23" t="n">
        <v>1</v>
      </c>
      <c r="D28" s="11" t="n">
        <f aca="false">COUNTIF(Inventory!$C$2:$C$381,$B28)</f>
        <v>2</v>
      </c>
    </row>
    <row r="29" customFormat="false" ht="15" hidden="false" customHeight="false" outlineLevel="0" collapsed="false">
      <c r="B29" s="10" t="s">
        <v>56</v>
      </c>
      <c r="C29" s="23" t="n">
        <v>1</v>
      </c>
      <c r="D29" s="11" t="n">
        <f aca="false">COUNTIF(Inventory!$C$2:$C$381,$B29)</f>
        <v>9</v>
      </c>
    </row>
    <row r="30" customFormat="false" ht="15" hidden="false" customHeight="false" outlineLevel="0" collapsed="false">
      <c r="B30" s="10" t="s">
        <v>57</v>
      </c>
      <c r="C30" s="23" t="n">
        <v>1</v>
      </c>
      <c r="D30" s="11" t="n">
        <f aca="false">COUNTIF(Inventory!$C$2:$C$381,$B30)</f>
        <v>2</v>
      </c>
    </row>
    <row r="31" customFormat="false" ht="15" hidden="false" customHeight="false" outlineLevel="0" collapsed="false">
      <c r="B31" s="10" t="s">
        <v>58</v>
      </c>
      <c r="C31" s="23" t="n">
        <v>2</v>
      </c>
      <c r="D31" s="11" t="n">
        <f aca="false">COUNTIF(Inventory!$C$2:$C$381,$B31)</f>
        <v>3</v>
      </c>
    </row>
    <row r="32" customFormat="false" ht="15" hidden="false" customHeight="false" outlineLevel="0" collapsed="false">
      <c r="B32" s="10" t="s">
        <v>59</v>
      </c>
      <c r="C32" s="23" t="n">
        <v>2</v>
      </c>
      <c r="D32" s="11" t="n">
        <f aca="false">COUNTIF(Inventory!$C$2:$C$381,$B32)</f>
        <v>11</v>
      </c>
    </row>
    <row r="33" customFormat="false" ht="15" hidden="false" customHeight="false" outlineLevel="0" collapsed="false">
      <c r="B33" s="10" t="s">
        <v>60</v>
      </c>
      <c r="C33" s="23" t="n">
        <v>2</v>
      </c>
      <c r="D33" s="11" t="n">
        <f aca="false">COUNTIF(Inventory!$C$2:$C$381,$B33)</f>
        <v>33</v>
      </c>
    </row>
    <row r="34" customFormat="false" ht="15" hidden="false" customHeight="false" outlineLevel="0" collapsed="false">
      <c r="B34" s="10" t="s">
        <v>61</v>
      </c>
      <c r="C34" s="23" t="n">
        <v>2</v>
      </c>
      <c r="D34" s="11" t="n">
        <f aca="false">COUNTIF(Inventory!$C$2:$C$381,$B34)</f>
        <v>3</v>
      </c>
    </row>
    <row r="35" customFormat="false" ht="15" hidden="false" customHeight="false" outlineLevel="0" collapsed="false">
      <c r="B35" s="10" t="s">
        <v>62</v>
      </c>
      <c r="C35" s="23" t="n">
        <v>5</v>
      </c>
      <c r="D35" s="11" t="n">
        <f aca="false">COUNTIF(Inventory!$C$2:$C$381,$B35)</f>
        <v>7</v>
      </c>
    </row>
    <row r="36" customFormat="false" ht="15" hidden="false" customHeight="false" outlineLevel="0" collapsed="false">
      <c r="B36" s="10" t="s">
        <v>63</v>
      </c>
      <c r="C36" s="23" t="n">
        <v>1</v>
      </c>
      <c r="D36" s="11" t="n">
        <f aca="false">COUNTIF(Inventory!$C$2:$C$381,$B36)</f>
        <v>2</v>
      </c>
    </row>
    <row r="37" customFormat="false" ht="15" hidden="false" customHeight="false" outlineLevel="0" collapsed="false">
      <c r="B37" s="10" t="s">
        <v>64</v>
      </c>
      <c r="C37" s="23" t="n">
        <v>4</v>
      </c>
      <c r="D37" s="11" t="n">
        <f aca="false">COUNTIF(Inventory!$C$2:$C$381,$B37)</f>
        <v>10</v>
      </c>
    </row>
    <row r="38" customFormat="false" ht="15" hidden="false" customHeight="false" outlineLevel="0" collapsed="false">
      <c r="B38" s="10" t="s">
        <v>65</v>
      </c>
      <c r="C38" s="23" t="n">
        <v>2</v>
      </c>
      <c r="D38" s="11" t="n">
        <f aca="false">COUNTIF(Inventory!$C$2:$C$381,$B38)</f>
        <v>8</v>
      </c>
    </row>
    <row r="39" customFormat="false" ht="15" hidden="false" customHeight="false" outlineLevel="0" collapsed="false">
      <c r="B39" s="10" t="s">
        <v>66</v>
      </c>
      <c r="C39" s="23" t="n">
        <v>1</v>
      </c>
      <c r="D39" s="11" t="n">
        <f aca="false">COUNTIF(Inventory!$C$2:$C$381,$B39)</f>
        <v>3</v>
      </c>
    </row>
    <row r="40" customFormat="false" ht="15" hidden="false" customHeight="false" outlineLevel="0" collapsed="false">
      <c r="B40" s="10" t="s">
        <v>67</v>
      </c>
      <c r="C40" s="23" t="n">
        <v>2</v>
      </c>
      <c r="D40" s="11" t="n">
        <f aca="false">COUNTIF(Inventory!$C$2:$C$381,$B40)</f>
        <v>5</v>
      </c>
    </row>
    <row r="41" customFormat="false" ht="15" hidden="false" customHeight="false" outlineLevel="0" collapsed="false">
      <c r="B41" s="10" t="s">
        <v>68</v>
      </c>
      <c r="C41" s="23" t="n">
        <v>10</v>
      </c>
      <c r="D41" s="11" t="n">
        <f aca="false">COUNTIF(Inventory!$C$2:$C$381,$B41)</f>
        <v>45</v>
      </c>
    </row>
    <row r="42" customFormat="false" ht="15" hidden="false" customHeight="false" outlineLevel="0" collapsed="false">
      <c r="B42" s="10" t="s">
        <v>69</v>
      </c>
      <c r="C42" s="23" t="n">
        <v>2</v>
      </c>
      <c r="D42" s="11" t="n">
        <f aca="false">COUNTIF(Inventory!$C$2:$C$381,$B42)</f>
        <v>29</v>
      </c>
    </row>
    <row r="43" customFormat="false" ht="15" hidden="false" customHeight="false" outlineLevel="0" collapsed="false">
      <c r="B43" s="10" t="s">
        <v>70</v>
      </c>
      <c r="C43" s="23" t="n">
        <v>1</v>
      </c>
      <c r="D43" s="11" t="n">
        <f aca="false">COUNTIF(Inventory!$C$2:$C$381,$B43)</f>
        <v>7</v>
      </c>
    </row>
    <row r="44" customFormat="false" ht="15" hidden="false" customHeight="false" outlineLevel="0" collapsed="false">
      <c r="B44" s="10" t="s">
        <v>71</v>
      </c>
      <c r="C44" s="23" t="n">
        <v>1</v>
      </c>
      <c r="D44" s="11" t="n">
        <f aca="false">COUNTIF(Inventory!$C$2:$C$381,$B44)</f>
        <v>1</v>
      </c>
    </row>
    <row r="45" customFormat="false" ht="15" hidden="false" customHeight="false" outlineLevel="0" collapsed="false">
      <c r="B45" s="10" t="s">
        <v>72</v>
      </c>
      <c r="C45" s="23" t="n">
        <v>4</v>
      </c>
      <c r="D45" s="11" t="n">
        <f aca="false">COUNTIF(Inventory!$C$2:$C$381,$B45)</f>
        <v>8</v>
      </c>
    </row>
    <row r="46" customFormat="false" ht="15" hidden="false" customHeight="false" outlineLevel="0" collapsed="false">
      <c r="B46" s="10" t="s">
        <v>73</v>
      </c>
      <c r="C46" s="23" t="n">
        <v>1</v>
      </c>
      <c r="D46" s="11" t="n">
        <f aca="false">COUNTIF(Inventory!$C$2:$C$381,$B46)</f>
        <v>3</v>
      </c>
    </row>
    <row r="47" customFormat="false" ht="15" hidden="false" customHeight="false" outlineLevel="0" collapsed="false">
      <c r="B47" s="10" t="s">
        <v>74</v>
      </c>
      <c r="C47" s="23" t="n">
        <v>4</v>
      </c>
      <c r="D47" s="11" t="n">
        <f aca="false">COUNTIF(Inventory!$C$2:$C$381,$B47)</f>
        <v>2</v>
      </c>
    </row>
    <row r="48" customFormat="false" ht="15" hidden="false" customHeight="false" outlineLevel="0" collapsed="false">
      <c r="B48" s="10" t="s">
        <v>75</v>
      </c>
      <c r="C48" s="23" t="n">
        <v>2</v>
      </c>
      <c r="D48" s="11" t="n">
        <f aca="false">COUNTIF(Inventory!$C$2:$C$381,$B48)</f>
        <v>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6"/>
    <col collapsed="false" customWidth="true" hidden="false" outlineLevel="0" max="5" min="5" style="0" width="13"/>
    <col collapsed="false" customWidth="true" hidden="false" outlineLevel="0" max="8" min="6" style="0" width="10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19"/>
    <col collapsed="false" customWidth="true" hidden="true" outlineLevel="0" max="16" min="13" style="0" width="13"/>
  </cols>
  <sheetData>
    <row r="1" customFormat="false" ht="15" hidden="false" customHeight="false" outlineLevel="0" collapsed="false">
      <c r="A1" s="20" t="s">
        <v>168</v>
      </c>
      <c r="B1" s="20" t="s">
        <v>82</v>
      </c>
      <c r="C1" s="20" t="s">
        <v>16</v>
      </c>
      <c r="D1" s="20" t="s">
        <v>169</v>
      </c>
      <c r="E1" s="20" t="s">
        <v>88</v>
      </c>
      <c r="F1" s="20" t="s">
        <v>170</v>
      </c>
      <c r="G1" s="20" t="s">
        <v>171</v>
      </c>
      <c r="H1" s="20" t="s">
        <v>84</v>
      </c>
      <c r="I1" s="20" t="s">
        <v>89</v>
      </c>
      <c r="J1" s="20" t="s">
        <v>85</v>
      </c>
      <c r="K1" s="20" t="s">
        <v>172</v>
      </c>
    </row>
    <row r="2" customFormat="false" ht="15" hidden="false" customHeight="false" outlineLevel="0" collapsed="false">
      <c r="A2" s="10" t="s">
        <v>173</v>
      </c>
      <c r="B2" s="10" t="s">
        <v>174</v>
      </c>
      <c r="C2" s="10" t="s">
        <v>68</v>
      </c>
      <c r="D2" s="10"/>
      <c r="E2" s="19" t="s">
        <v>106</v>
      </c>
      <c r="F2" s="23" t="n">
        <v>10</v>
      </c>
      <c r="G2" s="11" t="n">
        <f aca="false">SUMIFS('Issue Log'!$G$2:$G$501,'Issue Log'!$B$2:$B$501,$A2,'Issue Log'!$J$2:$J$501,"Out")</f>
        <v>0</v>
      </c>
      <c r="H2" s="11" t="n">
        <f aca="false">IF($F2="","",$F2-$G2)</f>
        <v>10</v>
      </c>
      <c r="I2" s="23" t="n">
        <v>10</v>
      </c>
      <c r="J2" s="11" t="str">
        <f aca="false">IF($F2="","Not counted",IF($H2&lt;=0,"Out of stock",IF($H2&lt;$I2,"Low stock","In stock")))</f>
        <v>In stock</v>
      </c>
      <c r="K2" s="5" t="s">
        <v>175</v>
      </c>
      <c r="M2" s="26" t="n">
        <f aca="false">IF(Search!$C$4="",0,IF(ISNUMBER(SEARCH(Search!$C$4,$A2&amp;" "&amp;$B2&amp;" "&amp;$C2&amp;" "&amp;$E2)),1,0))</f>
        <v>1</v>
      </c>
      <c r="N2" s="26" t="n">
        <f aca="false">IF(M2=1,SUM($M$2:M2),"")</f>
        <v>1</v>
      </c>
      <c r="O2" s="26" t="n">
        <f aca="false">IF(OR($J2="Out of stock",$J2="Low stock",$J2="Not counted"),1,0)</f>
        <v>0</v>
      </c>
      <c r="P2" s="0" t="str">
        <f aca="false">IF(O2=1,SUM($O$2:O2),"")</f>
        <v/>
      </c>
    </row>
    <row r="3" customFormat="false" ht="15" hidden="false" customHeight="false" outlineLevel="0" collapsed="false">
      <c r="A3" s="10" t="s">
        <v>176</v>
      </c>
      <c r="B3" s="10" t="s">
        <v>177</v>
      </c>
      <c r="C3" s="10" t="s">
        <v>68</v>
      </c>
      <c r="D3" s="10"/>
      <c r="E3" s="19" t="s">
        <v>106</v>
      </c>
      <c r="F3" s="23" t="n">
        <v>5</v>
      </c>
      <c r="G3" s="11" t="n">
        <f aca="false">SUMIFS('Issue Log'!$G$2:$G$501,'Issue Log'!$B$2:$B$501,$A3,'Issue Log'!$J$2:$J$501,"Out")</f>
        <v>0</v>
      </c>
      <c r="H3" s="11" t="n">
        <f aca="false">IF($F3="","",$F3-$G3)</f>
        <v>5</v>
      </c>
      <c r="I3" s="23" t="n">
        <v>10</v>
      </c>
      <c r="J3" s="11" t="str">
        <f aca="false">IF($F3="","Not counted",IF($H3&lt;=0,"Out of stock",IF($H3&lt;$I3,"Low stock","In stock")))</f>
        <v>Low stock</v>
      </c>
      <c r="K3" s="5" t="s">
        <v>175</v>
      </c>
      <c r="M3" s="26" t="n">
        <f aca="false">IF(Search!$C$4="",0,IF(ISNUMBER(SEARCH(Search!$C$4,$A3&amp;" "&amp;$B3&amp;" "&amp;$C3&amp;" "&amp;$E3)),1,0))</f>
        <v>1</v>
      </c>
      <c r="N3" s="26" t="n">
        <f aca="false">IF(M3=1,SUM($M$2:M3),"")</f>
        <v>2</v>
      </c>
      <c r="O3" s="26" t="n">
        <f aca="false">IF(OR($J3="Out of stock",$J3="Low stock",$J3="Not counted"),1,0)</f>
        <v>1</v>
      </c>
      <c r="P3" s="26" t="n">
        <f aca="false">IF(O3=1,SUM($O$2:O3),"")</f>
        <v>1</v>
      </c>
    </row>
    <row r="4" customFormat="false" ht="15" hidden="false" customHeight="false" outlineLevel="0" collapsed="false">
      <c r="A4" s="10" t="s">
        <v>178</v>
      </c>
      <c r="B4" s="10" t="s">
        <v>179</v>
      </c>
      <c r="C4" s="10" t="s">
        <v>68</v>
      </c>
      <c r="D4" s="10"/>
      <c r="E4" s="19" t="s">
        <v>106</v>
      </c>
      <c r="F4" s="23" t="n">
        <v>150</v>
      </c>
      <c r="G4" s="11" t="n">
        <f aca="false">SUMIFS('Issue Log'!$G$2:$G$501,'Issue Log'!$B$2:$B$501,$A4,'Issue Log'!$J$2:$J$501,"Out")</f>
        <v>0</v>
      </c>
      <c r="H4" s="11" t="n">
        <f aca="false">IF($F4="","",$F4-$G4)</f>
        <v>150</v>
      </c>
      <c r="I4" s="23" t="n">
        <v>10</v>
      </c>
      <c r="J4" s="11" t="str">
        <f aca="false">IF($F4="","Not counted",IF($H4&lt;=0,"Out of stock",IF($H4&lt;$I4,"Low stock","In stock")))</f>
        <v>In stock</v>
      </c>
      <c r="K4" s="5" t="s">
        <v>175</v>
      </c>
      <c r="M4" s="26" t="n">
        <f aca="false">IF(Search!$C$4="",0,IF(ISNUMBER(SEARCH(Search!$C$4,$A4&amp;" "&amp;$B4&amp;" "&amp;$C4&amp;" "&amp;$E4)),1,0))</f>
        <v>1</v>
      </c>
      <c r="N4" s="26" t="n">
        <f aca="false">IF(M4=1,SUM($M$2:M4),"")</f>
        <v>3</v>
      </c>
      <c r="O4" s="26" t="n">
        <f aca="false">IF(OR($J4="Out of stock",$J4="Low stock",$J4="Not counted"),1,0)</f>
        <v>0</v>
      </c>
      <c r="P4" s="0" t="str">
        <f aca="false">IF(O4=1,SUM($O$2:O4),"")</f>
        <v/>
      </c>
    </row>
    <row r="5" customFormat="false" ht="15" hidden="false" customHeight="false" outlineLevel="0" collapsed="false">
      <c r="A5" s="10" t="s">
        <v>180</v>
      </c>
      <c r="B5" s="10" t="s">
        <v>181</v>
      </c>
      <c r="C5" s="10" t="s">
        <v>68</v>
      </c>
      <c r="D5" s="10"/>
      <c r="E5" s="19" t="s">
        <v>106</v>
      </c>
      <c r="F5" s="23" t="n">
        <v>25</v>
      </c>
      <c r="G5" s="11" t="n">
        <f aca="false">SUMIFS('Issue Log'!$G$2:$G$501,'Issue Log'!$B$2:$B$501,$A5,'Issue Log'!$J$2:$J$501,"Out")</f>
        <v>0</v>
      </c>
      <c r="H5" s="11" t="n">
        <f aca="false">IF($F5="","",$F5-$G5)</f>
        <v>25</v>
      </c>
      <c r="I5" s="23" t="n">
        <v>10</v>
      </c>
      <c r="J5" s="11" t="str">
        <f aca="false">IF($F5="","Not counted",IF($H5&lt;=0,"Out of stock",IF($H5&lt;$I5,"Low stock","In stock")))</f>
        <v>In stock</v>
      </c>
      <c r="K5" s="5" t="s">
        <v>175</v>
      </c>
      <c r="M5" s="26" t="n">
        <f aca="false">IF(Search!$C$4="",0,IF(ISNUMBER(SEARCH(Search!$C$4,$A5&amp;" "&amp;$B5&amp;" "&amp;$C5&amp;" "&amp;$E5)),1,0))</f>
        <v>1</v>
      </c>
      <c r="N5" s="26" t="n">
        <f aca="false">IF(M5=1,SUM($M$2:M5),"")</f>
        <v>4</v>
      </c>
      <c r="O5" s="26" t="n">
        <f aca="false">IF(OR($J5="Out of stock",$J5="Low stock",$J5="Not counted"),1,0)</f>
        <v>0</v>
      </c>
      <c r="P5" s="0" t="str">
        <f aca="false">IF(O5=1,SUM($O$2:O5),"")</f>
        <v/>
      </c>
    </row>
    <row r="6" customFormat="false" ht="15" hidden="false" customHeight="false" outlineLevel="0" collapsed="false">
      <c r="A6" s="10" t="s">
        <v>182</v>
      </c>
      <c r="B6" s="10" t="s">
        <v>183</v>
      </c>
      <c r="C6" s="10" t="s">
        <v>68</v>
      </c>
      <c r="D6" s="10"/>
      <c r="E6" s="19" t="s">
        <v>106</v>
      </c>
      <c r="F6" s="23" t="n">
        <v>20</v>
      </c>
      <c r="G6" s="11" t="n">
        <f aca="false">SUMIFS('Issue Log'!$G$2:$G$501,'Issue Log'!$B$2:$B$501,$A6,'Issue Log'!$J$2:$J$501,"Out")</f>
        <v>0</v>
      </c>
      <c r="H6" s="11" t="n">
        <f aca="false">IF($F6="","",$F6-$G6)</f>
        <v>20</v>
      </c>
      <c r="I6" s="23" t="n">
        <v>10</v>
      </c>
      <c r="J6" s="11" t="str">
        <f aca="false">IF($F6="","Not counted",IF($H6&lt;=0,"Out of stock",IF($H6&lt;$I6,"Low stock","In stock")))</f>
        <v>In stock</v>
      </c>
      <c r="K6" s="5" t="s">
        <v>175</v>
      </c>
      <c r="M6" s="26" t="n">
        <f aca="false">IF(Search!$C$4="",0,IF(ISNUMBER(SEARCH(Search!$C$4,$A6&amp;" "&amp;$B6&amp;" "&amp;$C6&amp;" "&amp;$E6)),1,0))</f>
        <v>1</v>
      </c>
      <c r="N6" s="26" t="n">
        <f aca="false">IF(M6=1,SUM($M$2:M6),"")</f>
        <v>5</v>
      </c>
      <c r="O6" s="26" t="n">
        <f aca="false">IF(OR($J6="Out of stock",$J6="Low stock",$J6="Not counted"),1,0)</f>
        <v>0</v>
      </c>
      <c r="P6" s="0" t="str">
        <f aca="false">IF(O6=1,SUM($O$2:O6),"")</f>
        <v/>
      </c>
    </row>
    <row r="7" customFormat="false" ht="15" hidden="false" customHeight="false" outlineLevel="0" collapsed="false">
      <c r="A7" s="10" t="s">
        <v>184</v>
      </c>
      <c r="B7" s="10" t="s">
        <v>185</v>
      </c>
      <c r="C7" s="10" t="s">
        <v>68</v>
      </c>
      <c r="D7" s="10"/>
      <c r="E7" s="19" t="s">
        <v>106</v>
      </c>
      <c r="F7" s="23" t="n">
        <v>10</v>
      </c>
      <c r="G7" s="11" t="n">
        <f aca="false">SUMIFS('Issue Log'!$G$2:$G$501,'Issue Log'!$B$2:$B$501,$A7,'Issue Log'!$J$2:$J$501,"Out")</f>
        <v>0</v>
      </c>
      <c r="H7" s="11" t="n">
        <f aca="false">IF($F7="","",$F7-$G7)</f>
        <v>10</v>
      </c>
      <c r="I7" s="23" t="n">
        <v>10</v>
      </c>
      <c r="J7" s="11" t="str">
        <f aca="false">IF($F7="","Not counted",IF($H7&lt;=0,"Out of stock",IF($H7&lt;$I7,"Low stock","In stock")))</f>
        <v>In stock</v>
      </c>
      <c r="K7" s="5" t="s">
        <v>175</v>
      </c>
      <c r="M7" s="26" t="n">
        <f aca="false">IF(Search!$C$4="",0,IF(ISNUMBER(SEARCH(Search!$C$4,$A7&amp;" "&amp;$B7&amp;" "&amp;$C7&amp;" "&amp;$E7)),1,0))</f>
        <v>1</v>
      </c>
      <c r="N7" s="26" t="n">
        <f aca="false">IF(M7=1,SUM($M$2:M7),"")</f>
        <v>6</v>
      </c>
      <c r="O7" s="26" t="n">
        <f aca="false">IF(OR($J7="Out of stock",$J7="Low stock",$J7="Not counted"),1,0)</f>
        <v>0</v>
      </c>
      <c r="P7" s="0" t="str">
        <f aca="false">IF(O7=1,SUM($O$2:O7),"")</f>
        <v/>
      </c>
    </row>
    <row r="8" customFormat="false" ht="15" hidden="false" customHeight="false" outlineLevel="0" collapsed="false">
      <c r="A8" s="10" t="s">
        <v>186</v>
      </c>
      <c r="B8" s="10" t="s">
        <v>187</v>
      </c>
      <c r="C8" s="10" t="s">
        <v>68</v>
      </c>
      <c r="D8" s="10"/>
      <c r="E8" s="19" t="s">
        <v>106</v>
      </c>
      <c r="F8" s="23" t="n">
        <v>15</v>
      </c>
      <c r="G8" s="11" t="n">
        <f aca="false">SUMIFS('Issue Log'!$G$2:$G$501,'Issue Log'!$B$2:$B$501,$A8,'Issue Log'!$J$2:$J$501,"Out")</f>
        <v>0</v>
      </c>
      <c r="H8" s="11" t="n">
        <f aca="false">IF($F8="","",$F8-$G8)</f>
        <v>15</v>
      </c>
      <c r="I8" s="23" t="n">
        <v>10</v>
      </c>
      <c r="J8" s="11" t="str">
        <f aca="false">IF($F8="","Not counted",IF($H8&lt;=0,"Out of stock",IF($H8&lt;$I8,"Low stock","In stock")))</f>
        <v>In stock</v>
      </c>
      <c r="K8" s="5" t="s">
        <v>175</v>
      </c>
      <c r="M8" s="26" t="n">
        <f aca="false">IF(Search!$C$4="",0,IF(ISNUMBER(SEARCH(Search!$C$4,$A8&amp;" "&amp;$B8&amp;" "&amp;$C8&amp;" "&amp;$E8)),1,0))</f>
        <v>1</v>
      </c>
      <c r="N8" s="26" t="n">
        <f aca="false">IF(M8=1,SUM($M$2:M8),"")</f>
        <v>7</v>
      </c>
      <c r="O8" s="26" t="n">
        <f aca="false">IF(OR($J8="Out of stock",$J8="Low stock",$J8="Not counted"),1,0)</f>
        <v>0</v>
      </c>
      <c r="P8" s="0" t="str">
        <f aca="false">IF(O8=1,SUM($O$2:O8),"")</f>
        <v/>
      </c>
    </row>
    <row r="9" customFormat="false" ht="15" hidden="false" customHeight="false" outlineLevel="0" collapsed="false">
      <c r="A9" s="10" t="s">
        <v>188</v>
      </c>
      <c r="B9" s="10" t="s">
        <v>189</v>
      </c>
      <c r="C9" s="10" t="s">
        <v>68</v>
      </c>
      <c r="D9" s="10"/>
      <c r="E9" s="19" t="s">
        <v>107</v>
      </c>
      <c r="F9" s="23" t="n">
        <v>50</v>
      </c>
      <c r="G9" s="11" t="n">
        <f aca="false">SUMIFS('Issue Log'!$G$2:$G$501,'Issue Log'!$B$2:$B$501,$A9,'Issue Log'!$J$2:$J$501,"Out")</f>
        <v>0</v>
      </c>
      <c r="H9" s="11" t="n">
        <f aca="false">IF($F9="","",$F9-$G9)</f>
        <v>50</v>
      </c>
      <c r="I9" s="23" t="n">
        <v>10</v>
      </c>
      <c r="J9" s="11" t="str">
        <f aca="false">IF($F9="","Not counted",IF($H9&lt;=0,"Out of stock",IF($H9&lt;$I9,"Low stock","In stock")))</f>
        <v>In stock</v>
      </c>
      <c r="K9" s="5" t="s">
        <v>175</v>
      </c>
      <c r="M9" s="26" t="n">
        <f aca="false">IF(Search!$C$4="",0,IF(ISNUMBER(SEARCH(Search!$C$4,$A9&amp;" "&amp;$B9&amp;" "&amp;$C9&amp;" "&amp;$E9)),1,0))</f>
        <v>1</v>
      </c>
      <c r="N9" s="26" t="n">
        <f aca="false">IF(M9=1,SUM($M$2:M9),"")</f>
        <v>8</v>
      </c>
      <c r="O9" s="26" t="n">
        <f aca="false">IF(OR($J9="Out of stock",$J9="Low stock",$J9="Not counted"),1,0)</f>
        <v>0</v>
      </c>
      <c r="P9" s="0" t="str">
        <f aca="false">IF(O9=1,SUM($O$2:O9),"")</f>
        <v/>
      </c>
    </row>
    <row r="10" customFormat="false" ht="15" hidden="false" customHeight="false" outlineLevel="0" collapsed="false">
      <c r="A10" s="10" t="s">
        <v>190</v>
      </c>
      <c r="B10" s="10" t="s">
        <v>191</v>
      </c>
      <c r="C10" s="10" t="s">
        <v>68</v>
      </c>
      <c r="D10" s="10"/>
      <c r="E10" s="19" t="s">
        <v>107</v>
      </c>
      <c r="F10" s="23" t="n">
        <v>50</v>
      </c>
      <c r="G10" s="11" t="n">
        <f aca="false">SUMIFS('Issue Log'!$G$2:$G$501,'Issue Log'!$B$2:$B$501,$A10,'Issue Log'!$J$2:$J$501,"Out")</f>
        <v>0</v>
      </c>
      <c r="H10" s="11" t="n">
        <f aca="false">IF($F10="","",$F10-$G10)</f>
        <v>50</v>
      </c>
      <c r="I10" s="23" t="n">
        <v>10</v>
      </c>
      <c r="J10" s="11" t="str">
        <f aca="false">IF($F10="","Not counted",IF($H10&lt;=0,"Out of stock",IF($H10&lt;$I10,"Low stock","In stock")))</f>
        <v>In stock</v>
      </c>
      <c r="K10" s="5" t="s">
        <v>175</v>
      </c>
      <c r="M10" s="26" t="n">
        <f aca="false">IF(Search!$C$4="",0,IF(ISNUMBER(SEARCH(Search!$C$4,$A10&amp;" "&amp;$B10&amp;" "&amp;$C10&amp;" "&amp;$E10)),1,0))</f>
        <v>1</v>
      </c>
      <c r="N10" s="26" t="n">
        <f aca="false">IF(M10=1,SUM($M$2:M10),"")</f>
        <v>9</v>
      </c>
      <c r="O10" s="26" t="n">
        <f aca="false">IF(OR($J10="Out of stock",$J10="Low stock",$J10="Not counted"),1,0)</f>
        <v>0</v>
      </c>
      <c r="P10" s="0" t="str">
        <f aca="false">IF(O10=1,SUM($O$2:O10),"")</f>
        <v/>
      </c>
    </row>
    <row r="11" customFormat="false" ht="15" hidden="false" customHeight="false" outlineLevel="0" collapsed="false">
      <c r="A11" s="10" t="s">
        <v>192</v>
      </c>
      <c r="B11" s="10" t="s">
        <v>193</v>
      </c>
      <c r="C11" s="10" t="s">
        <v>68</v>
      </c>
      <c r="D11" s="10"/>
      <c r="E11" s="19" t="s">
        <v>107</v>
      </c>
      <c r="F11" s="23" t="n">
        <v>25</v>
      </c>
      <c r="G11" s="11" t="n">
        <f aca="false">SUMIFS('Issue Log'!$G$2:$G$501,'Issue Log'!$B$2:$B$501,$A11,'Issue Log'!$J$2:$J$501,"Out")</f>
        <v>0</v>
      </c>
      <c r="H11" s="11" t="n">
        <f aca="false">IF($F11="","",$F11-$G11)</f>
        <v>25</v>
      </c>
      <c r="I11" s="23" t="n">
        <v>10</v>
      </c>
      <c r="J11" s="11" t="str">
        <f aca="false">IF($F11="","Not counted",IF($H11&lt;=0,"Out of stock",IF($H11&lt;$I11,"Low stock","In stock")))</f>
        <v>In stock</v>
      </c>
      <c r="K11" s="5" t="s">
        <v>175</v>
      </c>
      <c r="M11" s="26" t="n">
        <f aca="false">IF(Search!$C$4="",0,IF(ISNUMBER(SEARCH(Search!$C$4,$A11&amp;" "&amp;$B11&amp;" "&amp;$C11&amp;" "&amp;$E11)),1,0))</f>
        <v>1</v>
      </c>
      <c r="N11" s="26" t="n">
        <f aca="false">IF(M11=1,SUM($M$2:M11),"")</f>
        <v>10</v>
      </c>
      <c r="O11" s="26" t="n">
        <f aca="false">IF(OR($J11="Out of stock",$J11="Low stock",$J11="Not counted"),1,0)</f>
        <v>0</v>
      </c>
      <c r="P11" s="0" t="str">
        <f aca="false">IF(O11=1,SUM($O$2:O11),"")</f>
        <v/>
      </c>
    </row>
    <row r="12" customFormat="false" ht="15" hidden="false" customHeight="false" outlineLevel="0" collapsed="false">
      <c r="A12" s="10" t="s">
        <v>194</v>
      </c>
      <c r="B12" s="10" t="s">
        <v>195</v>
      </c>
      <c r="C12" s="10" t="s">
        <v>68</v>
      </c>
      <c r="D12" s="10"/>
      <c r="E12" s="19" t="s">
        <v>107</v>
      </c>
      <c r="F12" s="23" t="n">
        <v>10</v>
      </c>
      <c r="G12" s="11" t="n">
        <f aca="false">SUMIFS('Issue Log'!$G$2:$G$501,'Issue Log'!$B$2:$B$501,$A12,'Issue Log'!$J$2:$J$501,"Out")</f>
        <v>0</v>
      </c>
      <c r="H12" s="11" t="n">
        <f aca="false">IF($F12="","",$F12-$G12)</f>
        <v>10</v>
      </c>
      <c r="I12" s="23" t="n">
        <v>10</v>
      </c>
      <c r="J12" s="11" t="str">
        <f aca="false">IF($F12="","Not counted",IF($H12&lt;=0,"Out of stock",IF($H12&lt;$I12,"Low stock","In stock")))</f>
        <v>In stock</v>
      </c>
      <c r="K12" s="5" t="s">
        <v>175</v>
      </c>
      <c r="M12" s="26" t="n">
        <f aca="false">IF(Search!$C$4="",0,IF(ISNUMBER(SEARCH(Search!$C$4,$A12&amp;" "&amp;$B12&amp;" "&amp;$C12&amp;" "&amp;$E12)),1,0))</f>
        <v>1</v>
      </c>
      <c r="N12" s="26" t="n">
        <f aca="false">IF(M12=1,SUM($M$2:M12),"")</f>
        <v>11</v>
      </c>
      <c r="O12" s="26" t="n">
        <f aca="false">IF(OR($J12="Out of stock",$J12="Low stock",$J12="Not counted"),1,0)</f>
        <v>0</v>
      </c>
      <c r="P12" s="0" t="str">
        <f aca="false">IF(O12=1,SUM($O$2:O12),"")</f>
        <v/>
      </c>
    </row>
    <row r="13" customFormat="false" ht="15" hidden="false" customHeight="false" outlineLevel="0" collapsed="false">
      <c r="A13" s="10" t="s">
        <v>196</v>
      </c>
      <c r="B13" s="10" t="s">
        <v>197</v>
      </c>
      <c r="C13" s="10" t="s">
        <v>68</v>
      </c>
      <c r="D13" s="10"/>
      <c r="E13" s="19" t="s">
        <v>107</v>
      </c>
      <c r="F13" s="23" t="n">
        <v>30</v>
      </c>
      <c r="G13" s="11" t="n">
        <f aca="false">SUMIFS('Issue Log'!$G$2:$G$501,'Issue Log'!$B$2:$B$501,$A13,'Issue Log'!$J$2:$J$501,"Out")</f>
        <v>0</v>
      </c>
      <c r="H13" s="11" t="n">
        <f aca="false">IF($F13="","",$F13-$G13)</f>
        <v>30</v>
      </c>
      <c r="I13" s="23" t="n">
        <v>10</v>
      </c>
      <c r="J13" s="11" t="str">
        <f aca="false">IF($F13="","Not counted",IF($H13&lt;=0,"Out of stock",IF($H13&lt;$I13,"Low stock","In stock")))</f>
        <v>In stock</v>
      </c>
      <c r="K13" s="5" t="s">
        <v>175</v>
      </c>
      <c r="M13" s="26" t="n">
        <f aca="false">IF(Search!$C$4="",0,IF(ISNUMBER(SEARCH(Search!$C$4,$A13&amp;" "&amp;$B13&amp;" "&amp;$C13&amp;" "&amp;$E13)),1,0))</f>
        <v>1</v>
      </c>
      <c r="N13" s="26" t="n">
        <f aca="false">IF(M13=1,SUM($M$2:M13),"")</f>
        <v>12</v>
      </c>
      <c r="O13" s="26" t="n">
        <f aca="false">IF(OR($J13="Out of stock",$J13="Low stock",$J13="Not counted"),1,0)</f>
        <v>0</v>
      </c>
      <c r="P13" s="0" t="str">
        <f aca="false">IF(O13=1,SUM($O$2:O13),"")</f>
        <v/>
      </c>
    </row>
    <row r="14" customFormat="false" ht="15" hidden="false" customHeight="false" outlineLevel="0" collapsed="false">
      <c r="A14" s="10" t="s">
        <v>99</v>
      </c>
      <c r="B14" s="10" t="s">
        <v>198</v>
      </c>
      <c r="C14" s="10" t="s">
        <v>68</v>
      </c>
      <c r="D14" s="10"/>
      <c r="E14" s="19" t="s">
        <v>107</v>
      </c>
      <c r="F14" s="23" t="n">
        <v>50</v>
      </c>
      <c r="G14" s="11" t="n">
        <f aca="false">SUMIFS('Issue Log'!$G$2:$G$501,'Issue Log'!$B$2:$B$501,$A14,'Issue Log'!$J$2:$J$501,"Out")</f>
        <v>0</v>
      </c>
      <c r="H14" s="11" t="n">
        <f aca="false">IF($F14="","",$F14-$G14)</f>
        <v>50</v>
      </c>
      <c r="I14" s="23" t="n">
        <v>10</v>
      </c>
      <c r="J14" s="11" t="str">
        <f aca="false">IF($F14="","Not counted",IF($H14&lt;=0,"Out of stock",IF($H14&lt;$I14,"Low stock","In stock")))</f>
        <v>In stock</v>
      </c>
      <c r="K14" s="5" t="s">
        <v>175</v>
      </c>
      <c r="M14" s="26" t="n">
        <f aca="false">IF(Search!$C$4="",0,IF(ISNUMBER(SEARCH(Search!$C$4,$A14&amp;" "&amp;$B14&amp;" "&amp;$C14&amp;" "&amp;$E14)),1,0))</f>
        <v>1</v>
      </c>
      <c r="N14" s="26" t="n">
        <f aca="false">IF(M14=1,SUM($M$2:M14),"")</f>
        <v>13</v>
      </c>
      <c r="O14" s="26" t="n">
        <f aca="false">IF(OR($J14="Out of stock",$J14="Low stock",$J14="Not counted"),1,0)</f>
        <v>0</v>
      </c>
      <c r="P14" s="0" t="str">
        <f aca="false">IF(O14=1,SUM($O$2:O14),"")</f>
        <v/>
      </c>
    </row>
    <row r="15" customFormat="false" ht="15" hidden="false" customHeight="false" outlineLevel="0" collapsed="false">
      <c r="A15" s="10" t="s">
        <v>199</v>
      </c>
      <c r="B15" s="10" t="s">
        <v>200</v>
      </c>
      <c r="C15" s="10" t="s">
        <v>64</v>
      </c>
      <c r="D15" s="10"/>
      <c r="E15" s="19" t="s">
        <v>108</v>
      </c>
      <c r="F15" s="23" t="n">
        <v>5</v>
      </c>
      <c r="G15" s="11" t="n">
        <f aca="false">SUMIFS('Issue Log'!$G$2:$G$501,'Issue Log'!$B$2:$B$501,$A15,'Issue Log'!$J$2:$J$501,"Out")</f>
        <v>0</v>
      </c>
      <c r="H15" s="11" t="n">
        <f aca="false">IF($F15="","",$F15-$G15)</f>
        <v>5</v>
      </c>
      <c r="I15" s="23" t="n">
        <v>4</v>
      </c>
      <c r="J15" s="11" t="str">
        <f aca="false">IF($F15="","Not counted",IF($H15&lt;=0,"Out of stock",IF($H15&lt;$I15,"Low stock","In stock")))</f>
        <v>In stock</v>
      </c>
      <c r="K15" s="5" t="s">
        <v>175</v>
      </c>
      <c r="M15" s="26" t="n">
        <f aca="false">IF(Search!$C$4="",0,IF(ISNUMBER(SEARCH(Search!$C$4,$A15&amp;" "&amp;$B15&amp;" "&amp;$C15&amp;" "&amp;$E15)),1,0))</f>
        <v>0</v>
      </c>
      <c r="N15" s="0" t="str">
        <f aca="false">IF(M15=1,SUM($M$2:M15),"")</f>
        <v/>
      </c>
      <c r="O15" s="26" t="n">
        <f aca="false">IF(OR($J15="Out of stock",$J15="Low stock",$J15="Not counted"),1,0)</f>
        <v>0</v>
      </c>
      <c r="P15" s="0" t="str">
        <f aca="false">IF(O15=1,SUM($O$2:O15),"")</f>
        <v/>
      </c>
    </row>
    <row r="16" customFormat="false" ht="15" hidden="false" customHeight="false" outlineLevel="0" collapsed="false">
      <c r="A16" s="10" t="s">
        <v>201</v>
      </c>
      <c r="B16" s="10" t="s">
        <v>202</v>
      </c>
      <c r="C16" s="10" t="s">
        <v>64</v>
      </c>
      <c r="D16" s="10"/>
      <c r="E16" s="19" t="s">
        <v>108</v>
      </c>
      <c r="F16" s="23" t="n">
        <v>3</v>
      </c>
      <c r="G16" s="11" t="n">
        <f aca="false">SUMIFS('Issue Log'!$G$2:$G$501,'Issue Log'!$B$2:$B$501,$A16,'Issue Log'!$J$2:$J$501,"Out")</f>
        <v>0</v>
      </c>
      <c r="H16" s="11" t="n">
        <f aca="false">IF($F16="","",$F16-$G16)</f>
        <v>3</v>
      </c>
      <c r="I16" s="23" t="n">
        <v>4</v>
      </c>
      <c r="J16" s="11" t="str">
        <f aca="false">IF($F16="","Not counted",IF($H16&lt;=0,"Out of stock",IF($H16&lt;$I16,"Low stock","In stock")))</f>
        <v>Low stock</v>
      </c>
      <c r="K16" s="5" t="s">
        <v>175</v>
      </c>
      <c r="M16" s="26" t="n">
        <f aca="false">IF(Search!$C$4="",0,IF(ISNUMBER(SEARCH(Search!$C$4,$A16&amp;" "&amp;$B16&amp;" "&amp;$C16&amp;" "&amp;$E16)),1,0))</f>
        <v>0</v>
      </c>
      <c r="N16" s="0" t="str">
        <f aca="false">IF(M16=1,SUM($M$2:M16),"")</f>
        <v/>
      </c>
      <c r="O16" s="26" t="n">
        <f aca="false">IF(OR($J16="Out of stock",$J16="Low stock",$J16="Not counted"),1,0)</f>
        <v>1</v>
      </c>
      <c r="P16" s="26" t="n">
        <f aca="false">IF(O16=1,SUM($O$2:O16),"")</f>
        <v>2</v>
      </c>
    </row>
    <row r="17" customFormat="false" ht="15" hidden="false" customHeight="false" outlineLevel="0" collapsed="false">
      <c r="A17" s="10" t="s">
        <v>203</v>
      </c>
      <c r="B17" s="10" t="s">
        <v>204</v>
      </c>
      <c r="C17" s="10" t="s">
        <v>64</v>
      </c>
      <c r="D17" s="10"/>
      <c r="E17" s="19" t="s">
        <v>108</v>
      </c>
      <c r="F17" s="23" t="n">
        <v>5</v>
      </c>
      <c r="G17" s="11" t="n">
        <f aca="false">SUMIFS('Issue Log'!$G$2:$G$501,'Issue Log'!$B$2:$B$501,$A17,'Issue Log'!$J$2:$J$501,"Out")</f>
        <v>0</v>
      </c>
      <c r="H17" s="11" t="n">
        <f aca="false">IF($F17="","",$F17-$G17)</f>
        <v>5</v>
      </c>
      <c r="I17" s="23" t="n">
        <v>4</v>
      </c>
      <c r="J17" s="11" t="str">
        <f aca="false">IF($F17="","Not counted",IF($H17&lt;=0,"Out of stock",IF($H17&lt;$I17,"Low stock","In stock")))</f>
        <v>In stock</v>
      </c>
      <c r="K17" s="5" t="s">
        <v>175</v>
      </c>
      <c r="M17" s="26" t="n">
        <f aca="false">IF(Search!$C$4="",0,IF(ISNUMBER(SEARCH(Search!$C$4,$A17&amp;" "&amp;$B17&amp;" "&amp;$C17&amp;" "&amp;$E17)),1,0))</f>
        <v>0</v>
      </c>
      <c r="N17" s="0" t="str">
        <f aca="false">IF(M17=1,SUM($M$2:M17),"")</f>
        <v/>
      </c>
      <c r="O17" s="26" t="n">
        <f aca="false">IF(OR($J17="Out of stock",$J17="Low stock",$J17="Not counted"),1,0)</f>
        <v>0</v>
      </c>
      <c r="P17" s="0" t="str">
        <f aca="false">IF(O17=1,SUM($O$2:O17),"")</f>
        <v/>
      </c>
    </row>
    <row r="18" customFormat="false" ht="15" hidden="false" customHeight="false" outlineLevel="0" collapsed="false">
      <c r="A18" s="10" t="s">
        <v>205</v>
      </c>
      <c r="B18" s="10" t="s">
        <v>206</v>
      </c>
      <c r="C18" s="10" t="s">
        <v>64</v>
      </c>
      <c r="D18" s="10"/>
      <c r="E18" s="19" t="s">
        <v>108</v>
      </c>
      <c r="F18" s="23" t="n">
        <v>3</v>
      </c>
      <c r="G18" s="11" t="n">
        <f aca="false">SUMIFS('Issue Log'!$G$2:$G$501,'Issue Log'!$B$2:$B$501,$A18,'Issue Log'!$J$2:$J$501,"Out")</f>
        <v>0</v>
      </c>
      <c r="H18" s="11" t="n">
        <f aca="false">IF($F18="","",$F18-$G18)</f>
        <v>3</v>
      </c>
      <c r="I18" s="23" t="n">
        <v>4</v>
      </c>
      <c r="J18" s="11" t="str">
        <f aca="false">IF($F18="","Not counted",IF($H18&lt;=0,"Out of stock",IF($H18&lt;$I18,"Low stock","In stock")))</f>
        <v>Low stock</v>
      </c>
      <c r="K18" s="5" t="s">
        <v>175</v>
      </c>
      <c r="M18" s="26" t="n">
        <f aca="false">IF(Search!$C$4="",0,IF(ISNUMBER(SEARCH(Search!$C$4,$A18&amp;" "&amp;$B18&amp;" "&amp;$C18&amp;" "&amp;$E18)),1,0))</f>
        <v>0</v>
      </c>
      <c r="N18" s="0" t="str">
        <f aca="false">IF(M18=1,SUM($M$2:M18),"")</f>
        <v/>
      </c>
      <c r="O18" s="26" t="n">
        <f aca="false">IF(OR($J18="Out of stock",$J18="Low stock",$J18="Not counted"),1,0)</f>
        <v>1</v>
      </c>
      <c r="P18" s="26" t="n">
        <f aca="false">IF(O18=1,SUM($O$2:O18),"")</f>
        <v>3</v>
      </c>
    </row>
    <row r="19" customFormat="false" ht="15" hidden="false" customHeight="false" outlineLevel="0" collapsed="false">
      <c r="A19" s="10" t="s">
        <v>207</v>
      </c>
      <c r="B19" s="10" t="s">
        <v>208</v>
      </c>
      <c r="C19" s="10" t="s">
        <v>64</v>
      </c>
      <c r="D19" s="10"/>
      <c r="E19" s="19" t="s">
        <v>108</v>
      </c>
      <c r="F19" s="23" t="n">
        <v>4</v>
      </c>
      <c r="G19" s="11" t="n">
        <f aca="false">SUMIFS('Issue Log'!$G$2:$G$501,'Issue Log'!$B$2:$B$501,$A19,'Issue Log'!$J$2:$J$501,"Out")</f>
        <v>0</v>
      </c>
      <c r="H19" s="11" t="n">
        <f aca="false">IF($F19="","",$F19-$G19)</f>
        <v>4</v>
      </c>
      <c r="I19" s="23" t="n">
        <v>4</v>
      </c>
      <c r="J19" s="11" t="str">
        <f aca="false">IF($F19="","Not counted",IF($H19&lt;=0,"Out of stock",IF($H19&lt;$I19,"Low stock","In stock")))</f>
        <v>In stock</v>
      </c>
      <c r="K19" s="5" t="s">
        <v>175</v>
      </c>
      <c r="M19" s="26" t="n">
        <f aca="false">IF(Search!$C$4="",0,IF(ISNUMBER(SEARCH(Search!$C$4,$A19&amp;" "&amp;$B19&amp;" "&amp;$C19&amp;" "&amp;$E19)),1,0))</f>
        <v>0</v>
      </c>
      <c r="N19" s="0" t="str">
        <f aca="false">IF(M19=1,SUM($M$2:M19),"")</f>
        <v/>
      </c>
      <c r="O19" s="26" t="n">
        <f aca="false">IF(OR($J19="Out of stock",$J19="Low stock",$J19="Not counted"),1,0)</f>
        <v>0</v>
      </c>
      <c r="P19" s="0" t="str">
        <f aca="false">IF(O19=1,SUM($O$2:O19),"")</f>
        <v/>
      </c>
    </row>
    <row r="20" customFormat="false" ht="15" hidden="false" customHeight="false" outlineLevel="0" collapsed="false">
      <c r="A20" s="10" t="s">
        <v>209</v>
      </c>
      <c r="B20" s="10" t="s">
        <v>210</v>
      </c>
      <c r="C20" s="10" t="s">
        <v>64</v>
      </c>
      <c r="D20" s="10"/>
      <c r="E20" s="19" t="s">
        <v>108</v>
      </c>
      <c r="F20" s="23" t="n">
        <v>100</v>
      </c>
      <c r="G20" s="11" t="n">
        <f aca="false">SUMIFS('Issue Log'!$G$2:$G$501,'Issue Log'!$B$2:$B$501,$A20,'Issue Log'!$J$2:$J$501,"Out")</f>
        <v>0</v>
      </c>
      <c r="H20" s="11" t="n">
        <f aca="false">IF($F20="","",$F20-$G20)</f>
        <v>100</v>
      </c>
      <c r="I20" s="23" t="n">
        <v>4</v>
      </c>
      <c r="J20" s="11" t="str">
        <f aca="false">IF($F20="","Not counted",IF($H20&lt;=0,"Out of stock",IF($H20&lt;$I20,"Low stock","In stock")))</f>
        <v>In stock</v>
      </c>
      <c r="K20" s="5" t="s">
        <v>175</v>
      </c>
      <c r="M20" s="26" t="n">
        <f aca="false">IF(Search!$C$4="",0,IF(ISNUMBER(SEARCH(Search!$C$4,$A20&amp;" "&amp;$B20&amp;" "&amp;$C20&amp;" "&amp;$E20)),1,0))</f>
        <v>0</v>
      </c>
      <c r="N20" s="0" t="str">
        <f aca="false">IF(M20=1,SUM($M$2:M20),"")</f>
        <v/>
      </c>
      <c r="O20" s="26" t="n">
        <f aca="false">IF(OR($J20="Out of stock",$J20="Low stock",$J20="Not counted"),1,0)</f>
        <v>0</v>
      </c>
      <c r="P20" s="0" t="str">
        <f aca="false">IF(O20=1,SUM($O$2:O20),"")</f>
        <v/>
      </c>
    </row>
    <row r="21" customFormat="false" ht="15" hidden="false" customHeight="false" outlineLevel="0" collapsed="false">
      <c r="A21" s="10" t="s">
        <v>211</v>
      </c>
      <c r="B21" s="10" t="s">
        <v>212</v>
      </c>
      <c r="C21" s="10" t="s">
        <v>64</v>
      </c>
      <c r="D21" s="10"/>
      <c r="E21" s="19" t="s">
        <v>108</v>
      </c>
      <c r="F21" s="23" t="n">
        <v>6</v>
      </c>
      <c r="G21" s="11" t="n">
        <f aca="false">SUMIFS('Issue Log'!$G$2:$G$501,'Issue Log'!$B$2:$B$501,$A21,'Issue Log'!$J$2:$J$501,"Out")</f>
        <v>0</v>
      </c>
      <c r="H21" s="11" t="n">
        <f aca="false">IF($F21="","",$F21-$G21)</f>
        <v>6</v>
      </c>
      <c r="I21" s="23" t="n">
        <v>4</v>
      </c>
      <c r="J21" s="11" t="str">
        <f aca="false">IF($F21="","Not counted",IF($H21&lt;=0,"Out of stock",IF($H21&lt;$I21,"Low stock","In stock")))</f>
        <v>In stock</v>
      </c>
      <c r="K21" s="5" t="s">
        <v>175</v>
      </c>
      <c r="M21" s="26" t="n">
        <f aca="false">IF(Search!$C$4="",0,IF(ISNUMBER(SEARCH(Search!$C$4,$A21&amp;" "&amp;$B21&amp;" "&amp;$C21&amp;" "&amp;$E21)),1,0))</f>
        <v>0</v>
      </c>
      <c r="N21" s="0" t="str">
        <f aca="false">IF(M21=1,SUM($M$2:M21),"")</f>
        <v/>
      </c>
      <c r="O21" s="26" t="n">
        <f aca="false">IF(OR($J21="Out of stock",$J21="Low stock",$J21="Not counted"),1,0)</f>
        <v>0</v>
      </c>
      <c r="P21" s="0" t="str">
        <f aca="false">IF(O21=1,SUM($O$2:O21),"")</f>
        <v/>
      </c>
    </row>
    <row r="22" customFormat="false" ht="15" hidden="false" customHeight="false" outlineLevel="0" collapsed="false">
      <c r="A22" s="10" t="s">
        <v>213</v>
      </c>
      <c r="B22" s="10" t="s">
        <v>214</v>
      </c>
      <c r="C22" s="10" t="s">
        <v>68</v>
      </c>
      <c r="D22" s="10"/>
      <c r="E22" s="19" t="s">
        <v>109</v>
      </c>
      <c r="F22" s="23" t="n">
        <v>25</v>
      </c>
      <c r="G22" s="11" t="n">
        <f aca="false">SUMIFS('Issue Log'!$G$2:$G$501,'Issue Log'!$B$2:$B$501,$A22,'Issue Log'!$J$2:$J$501,"Out")</f>
        <v>0</v>
      </c>
      <c r="H22" s="11" t="n">
        <f aca="false">IF($F22="","",$F22-$G22)</f>
        <v>25</v>
      </c>
      <c r="I22" s="23" t="n">
        <v>10</v>
      </c>
      <c r="J22" s="11" t="str">
        <f aca="false">IF($F22="","Not counted",IF($H22&lt;=0,"Out of stock",IF($H22&lt;$I22,"Low stock","In stock")))</f>
        <v>In stock</v>
      </c>
      <c r="K22" s="5" t="s">
        <v>175</v>
      </c>
      <c r="M22" s="26" t="n">
        <f aca="false">IF(Search!$C$4="",0,IF(ISNUMBER(SEARCH(Search!$C$4,$A22&amp;" "&amp;$B22&amp;" "&amp;$C22&amp;" "&amp;$E22)),1,0))</f>
        <v>1</v>
      </c>
      <c r="N22" s="26" t="n">
        <f aca="false">IF(M22=1,SUM($M$2:M22),"")</f>
        <v>14</v>
      </c>
      <c r="O22" s="26" t="n">
        <f aca="false">IF(OR($J22="Out of stock",$J22="Low stock",$J22="Not counted"),1,0)</f>
        <v>0</v>
      </c>
      <c r="P22" s="0" t="str">
        <f aca="false">IF(O22=1,SUM($O$2:O22),"")</f>
        <v/>
      </c>
    </row>
    <row r="23" customFormat="false" ht="15" hidden="false" customHeight="false" outlineLevel="0" collapsed="false">
      <c r="A23" s="10" t="s">
        <v>215</v>
      </c>
      <c r="B23" s="10" t="s">
        <v>216</v>
      </c>
      <c r="C23" s="10" t="s">
        <v>69</v>
      </c>
      <c r="D23" s="10"/>
      <c r="E23" s="19" t="s">
        <v>109</v>
      </c>
      <c r="F23" s="23" t="n">
        <v>16</v>
      </c>
      <c r="G23" s="11" t="n">
        <f aca="false">SUMIFS('Issue Log'!$G$2:$G$501,'Issue Log'!$B$2:$B$501,$A23,'Issue Log'!$J$2:$J$501,"Out")</f>
        <v>0</v>
      </c>
      <c r="H23" s="11" t="n">
        <f aca="false">IF($F23="","",$F23-$G23)</f>
        <v>16</v>
      </c>
      <c r="I23" s="23" t="n">
        <v>2</v>
      </c>
      <c r="J23" s="11" t="str">
        <f aca="false">IF($F23="","Not counted",IF($H23&lt;=0,"Out of stock",IF($H23&lt;$I23,"Low stock","In stock")))</f>
        <v>In stock</v>
      </c>
      <c r="K23" s="5" t="s">
        <v>175</v>
      </c>
      <c r="M23" s="26" t="n">
        <f aca="false">IF(Search!$C$4="",0,IF(ISNUMBER(SEARCH(Search!$C$4,$A23&amp;" "&amp;$B23&amp;" "&amp;$C23&amp;" "&amp;$E23)),1,0))</f>
        <v>0</v>
      </c>
      <c r="N23" s="0" t="str">
        <f aca="false">IF(M23=1,SUM($M$2:M23),"")</f>
        <v/>
      </c>
      <c r="O23" s="26" t="n">
        <f aca="false">IF(OR($J23="Out of stock",$J23="Low stock",$J23="Not counted"),1,0)</f>
        <v>0</v>
      </c>
      <c r="P23" s="0" t="str">
        <f aca="false">IF(O23=1,SUM($O$2:O23),"")</f>
        <v/>
      </c>
    </row>
    <row r="24" customFormat="false" ht="15" hidden="false" customHeight="false" outlineLevel="0" collapsed="false">
      <c r="A24" s="10" t="s">
        <v>217</v>
      </c>
      <c r="B24" s="10" t="s">
        <v>218</v>
      </c>
      <c r="C24" s="10" t="s">
        <v>58</v>
      </c>
      <c r="D24" s="10"/>
      <c r="E24" s="19" t="s">
        <v>109</v>
      </c>
      <c r="F24" s="23" t="n">
        <v>5</v>
      </c>
      <c r="G24" s="11" t="n">
        <f aca="false">SUMIFS('Issue Log'!$G$2:$G$501,'Issue Log'!$B$2:$B$501,$A24,'Issue Log'!$J$2:$J$501,"Out")</f>
        <v>0</v>
      </c>
      <c r="H24" s="11" t="n">
        <f aca="false">IF($F24="","",$F24-$G24)</f>
        <v>5</v>
      </c>
      <c r="I24" s="23" t="n">
        <v>2</v>
      </c>
      <c r="J24" s="11" t="str">
        <f aca="false">IF($F24="","Not counted",IF($H24&lt;=0,"Out of stock",IF($H24&lt;$I24,"Low stock","In stock")))</f>
        <v>In stock</v>
      </c>
      <c r="K24" s="5" t="s">
        <v>175</v>
      </c>
      <c r="M24" s="26" t="n">
        <f aca="false">IF(Search!$C$4="",0,IF(ISNUMBER(SEARCH(Search!$C$4,$A24&amp;" "&amp;$B24&amp;" "&amp;$C24&amp;" "&amp;$E24)),1,0))</f>
        <v>0</v>
      </c>
      <c r="N24" s="0" t="str">
        <f aca="false">IF(M24=1,SUM($M$2:M24),"")</f>
        <v/>
      </c>
      <c r="O24" s="26" t="n">
        <f aca="false">IF(OR($J24="Out of stock",$J24="Low stock",$J24="Not counted"),1,0)</f>
        <v>0</v>
      </c>
      <c r="P24" s="0" t="str">
        <f aca="false">IF(O24=1,SUM($O$2:O24),"")</f>
        <v/>
      </c>
    </row>
    <row r="25" customFormat="false" ht="15" hidden="false" customHeight="false" outlineLevel="0" collapsed="false">
      <c r="A25" s="10" t="s">
        <v>219</v>
      </c>
      <c r="B25" s="10" t="s">
        <v>220</v>
      </c>
      <c r="C25" s="10" t="s">
        <v>58</v>
      </c>
      <c r="D25" s="10"/>
      <c r="E25" s="19" t="s">
        <v>109</v>
      </c>
      <c r="F25" s="23"/>
      <c r="G25" s="11" t="n">
        <f aca="false">SUMIFS('Issue Log'!$G$2:$G$501,'Issue Log'!$B$2:$B$501,$A25,'Issue Log'!$J$2:$J$501,"Out")</f>
        <v>0</v>
      </c>
      <c r="H25" s="11" t="str">
        <f aca="false">IF($F25="","",$F25-$G25)</f>
        <v/>
      </c>
      <c r="I25" s="23" t="n">
        <v>2</v>
      </c>
      <c r="J25" s="11" t="str">
        <f aca="false">IF($F25="","Not counted",IF($H25&lt;=0,"Out of stock",IF($H25&lt;$I25,"Low stock","In stock")))</f>
        <v>Not counted</v>
      </c>
      <c r="K25" s="5" t="s">
        <v>175</v>
      </c>
      <c r="M25" s="26" t="n">
        <f aca="false">IF(Search!$C$4="",0,IF(ISNUMBER(SEARCH(Search!$C$4,$A25&amp;" "&amp;$B25&amp;" "&amp;$C25&amp;" "&amp;$E25)),1,0))</f>
        <v>0</v>
      </c>
      <c r="N25" s="0" t="str">
        <f aca="false">IF(M25=1,SUM($M$2:M25),"")</f>
        <v/>
      </c>
      <c r="O25" s="26" t="n">
        <f aca="false">IF(OR($J25="Out of stock",$J25="Low stock",$J25="Not counted"),1,0)</f>
        <v>1</v>
      </c>
      <c r="P25" s="26" t="n">
        <f aca="false">IF(O25=1,SUM($O$2:O25),"")</f>
        <v>4</v>
      </c>
    </row>
    <row r="26" customFormat="false" ht="15" hidden="false" customHeight="false" outlineLevel="0" collapsed="false">
      <c r="A26" s="10" t="s">
        <v>221</v>
      </c>
      <c r="B26" s="10" t="s">
        <v>222</v>
      </c>
      <c r="C26" s="10" t="s">
        <v>71</v>
      </c>
      <c r="D26" s="10"/>
      <c r="E26" s="19" t="s">
        <v>109</v>
      </c>
      <c r="F26" s="23"/>
      <c r="G26" s="11" t="n">
        <f aca="false">SUMIFS('Issue Log'!$G$2:$G$501,'Issue Log'!$B$2:$B$501,$A26,'Issue Log'!$J$2:$J$501,"Out")</f>
        <v>0</v>
      </c>
      <c r="H26" s="11" t="str">
        <f aca="false">IF($F26="","",$F26-$G26)</f>
        <v/>
      </c>
      <c r="I26" s="23" t="n">
        <v>1</v>
      </c>
      <c r="J26" s="11" t="str">
        <f aca="false">IF($F26="","Not counted",IF($H26&lt;=0,"Out of stock",IF($H26&lt;$I26,"Low stock","In stock")))</f>
        <v>Not counted</v>
      </c>
      <c r="K26" s="5" t="s">
        <v>175</v>
      </c>
      <c r="M26" s="26" t="n">
        <f aca="false">IF(Search!$C$4="",0,IF(ISNUMBER(SEARCH(Search!$C$4,$A26&amp;" "&amp;$B26&amp;" "&amp;$C26&amp;" "&amp;$E26)),1,0))</f>
        <v>0</v>
      </c>
      <c r="N26" s="0" t="str">
        <f aca="false">IF(M26=1,SUM($M$2:M26),"")</f>
        <v/>
      </c>
      <c r="O26" s="26" t="n">
        <f aca="false">IF(OR($J26="Out of stock",$J26="Low stock",$J26="Not counted"),1,0)</f>
        <v>1</v>
      </c>
      <c r="P26" s="26" t="n">
        <f aca="false">IF(O26=1,SUM($O$2:O26),"")</f>
        <v>5</v>
      </c>
    </row>
    <row r="27" customFormat="false" ht="15" hidden="false" customHeight="false" outlineLevel="0" collapsed="false">
      <c r="A27" s="10" t="s">
        <v>223</v>
      </c>
      <c r="B27" s="10" t="s">
        <v>224</v>
      </c>
      <c r="C27" s="10" t="s">
        <v>37</v>
      </c>
      <c r="D27" s="10"/>
      <c r="E27" s="19" t="s">
        <v>110</v>
      </c>
      <c r="F27" s="23" t="n">
        <v>44</v>
      </c>
      <c r="G27" s="11" t="n">
        <f aca="false">SUMIFS('Issue Log'!$G$2:$G$501,'Issue Log'!$B$2:$B$501,$A27,'Issue Log'!$J$2:$J$501,"Out")</f>
        <v>0</v>
      </c>
      <c r="H27" s="11" t="n">
        <f aca="false">IF($F27="","",$F27-$G27)</f>
        <v>44</v>
      </c>
      <c r="I27" s="23" t="n">
        <v>10</v>
      </c>
      <c r="J27" s="11" t="str">
        <f aca="false">IF($F27="","Not counted",IF($H27&lt;=0,"Out of stock",IF($H27&lt;$I27,"Low stock","In stock")))</f>
        <v>In stock</v>
      </c>
      <c r="K27" s="5" t="s">
        <v>175</v>
      </c>
      <c r="M27" s="26" t="n">
        <f aca="false">IF(Search!$C$4="",0,IF(ISNUMBER(SEARCH(Search!$C$4,$A27&amp;" "&amp;$B27&amp;" "&amp;$C27&amp;" "&amp;$E27)),1,0))</f>
        <v>0</v>
      </c>
      <c r="N27" s="0" t="str">
        <f aca="false">IF(M27=1,SUM($M$2:M27),"")</f>
        <v/>
      </c>
      <c r="O27" s="26" t="n">
        <f aca="false">IF(OR($J27="Out of stock",$J27="Low stock",$J27="Not counted"),1,0)</f>
        <v>0</v>
      </c>
      <c r="P27" s="0" t="str">
        <f aca="false">IF(O27=1,SUM($O$2:O27),"")</f>
        <v/>
      </c>
    </row>
    <row r="28" customFormat="false" ht="15" hidden="false" customHeight="false" outlineLevel="0" collapsed="false">
      <c r="A28" s="10" t="s">
        <v>225</v>
      </c>
      <c r="B28" s="10" t="s">
        <v>226</v>
      </c>
      <c r="C28" s="10" t="s">
        <v>37</v>
      </c>
      <c r="D28" s="10"/>
      <c r="E28" s="19" t="s">
        <v>110</v>
      </c>
      <c r="F28" s="23" t="n">
        <v>147</v>
      </c>
      <c r="G28" s="11" t="n">
        <f aca="false">SUMIFS('Issue Log'!$G$2:$G$501,'Issue Log'!$B$2:$B$501,$A28,'Issue Log'!$J$2:$J$501,"Out")</f>
        <v>0</v>
      </c>
      <c r="H28" s="11" t="n">
        <f aca="false">IF($F28="","",$F28-$G28)</f>
        <v>147</v>
      </c>
      <c r="I28" s="23" t="n">
        <v>10</v>
      </c>
      <c r="J28" s="11" t="str">
        <f aca="false">IF($F28="","Not counted",IF($H28&lt;=0,"Out of stock",IF($H28&lt;$I28,"Low stock","In stock")))</f>
        <v>In stock</v>
      </c>
      <c r="K28" s="5" t="s">
        <v>175</v>
      </c>
      <c r="M28" s="26" t="n">
        <f aca="false">IF(Search!$C$4="",0,IF(ISNUMBER(SEARCH(Search!$C$4,$A28&amp;" "&amp;$B28&amp;" "&amp;$C28&amp;" "&amp;$E28)),1,0))</f>
        <v>0</v>
      </c>
      <c r="N28" s="0" t="str">
        <f aca="false">IF(M28=1,SUM($M$2:M28),"")</f>
        <v/>
      </c>
      <c r="O28" s="26" t="n">
        <f aca="false">IF(OR($J28="Out of stock",$J28="Low stock",$J28="Not counted"),1,0)</f>
        <v>0</v>
      </c>
      <c r="P28" s="0" t="str">
        <f aca="false">IF(O28=1,SUM($O$2:O28),"")</f>
        <v/>
      </c>
    </row>
    <row r="29" customFormat="false" ht="15" hidden="false" customHeight="false" outlineLevel="0" collapsed="false">
      <c r="A29" s="10" t="s">
        <v>227</v>
      </c>
      <c r="B29" s="10" t="s">
        <v>228</v>
      </c>
      <c r="C29" s="10" t="s">
        <v>37</v>
      </c>
      <c r="D29" s="10"/>
      <c r="E29" s="19" t="s">
        <v>110</v>
      </c>
      <c r="F29" s="23" t="n">
        <v>77</v>
      </c>
      <c r="G29" s="11" t="n">
        <f aca="false">SUMIFS('Issue Log'!$G$2:$G$501,'Issue Log'!$B$2:$B$501,$A29,'Issue Log'!$J$2:$J$501,"Out")</f>
        <v>0</v>
      </c>
      <c r="H29" s="11" t="n">
        <f aca="false">IF($F29="","",$F29-$G29)</f>
        <v>77</v>
      </c>
      <c r="I29" s="23" t="n">
        <v>10</v>
      </c>
      <c r="J29" s="11" t="str">
        <f aca="false">IF($F29="","Not counted",IF($H29&lt;=0,"Out of stock",IF($H29&lt;$I29,"Low stock","In stock")))</f>
        <v>In stock</v>
      </c>
      <c r="K29" s="5" t="s">
        <v>175</v>
      </c>
      <c r="M29" s="26" t="n">
        <f aca="false">IF(Search!$C$4="",0,IF(ISNUMBER(SEARCH(Search!$C$4,$A29&amp;" "&amp;$B29&amp;" "&amp;$C29&amp;" "&amp;$E29)),1,0))</f>
        <v>0</v>
      </c>
      <c r="N29" s="0" t="str">
        <f aca="false">IF(M29=1,SUM($M$2:M29),"")</f>
        <v/>
      </c>
      <c r="O29" s="26" t="n">
        <f aca="false">IF(OR($J29="Out of stock",$J29="Low stock",$J29="Not counted"),1,0)</f>
        <v>0</v>
      </c>
      <c r="P29" s="0" t="str">
        <f aca="false">IF(O29=1,SUM($O$2:O29),"")</f>
        <v/>
      </c>
    </row>
    <row r="30" customFormat="false" ht="15" hidden="false" customHeight="false" outlineLevel="0" collapsed="false">
      <c r="A30" s="10" t="s">
        <v>229</v>
      </c>
      <c r="B30" s="10" t="s">
        <v>230</v>
      </c>
      <c r="C30" s="10" t="s">
        <v>37</v>
      </c>
      <c r="D30" s="10"/>
      <c r="E30" s="19" t="s">
        <v>110</v>
      </c>
      <c r="F30" s="23" t="n">
        <v>24</v>
      </c>
      <c r="G30" s="11" t="n">
        <f aca="false">SUMIFS('Issue Log'!$G$2:$G$501,'Issue Log'!$B$2:$B$501,$A30,'Issue Log'!$J$2:$J$501,"Out")</f>
        <v>0</v>
      </c>
      <c r="H30" s="11" t="n">
        <f aca="false">IF($F30="","",$F30-$G30)</f>
        <v>24</v>
      </c>
      <c r="I30" s="23" t="n">
        <v>10</v>
      </c>
      <c r="J30" s="11" t="str">
        <f aca="false">IF($F30="","Not counted",IF($H30&lt;=0,"Out of stock",IF($H30&lt;$I30,"Low stock","In stock")))</f>
        <v>In stock</v>
      </c>
      <c r="K30" s="5" t="s">
        <v>175</v>
      </c>
      <c r="M30" s="26" t="n">
        <f aca="false">IF(Search!$C$4="",0,IF(ISNUMBER(SEARCH(Search!$C$4,$A30&amp;" "&amp;$B30&amp;" "&amp;$C30&amp;" "&amp;$E30)),1,0))</f>
        <v>0</v>
      </c>
      <c r="N30" s="0" t="str">
        <f aca="false">IF(M30=1,SUM($M$2:M30),"")</f>
        <v/>
      </c>
      <c r="O30" s="26" t="n">
        <f aca="false">IF(OR($J30="Out of stock",$J30="Low stock",$J30="Not counted"),1,0)</f>
        <v>0</v>
      </c>
      <c r="P30" s="0" t="str">
        <f aca="false">IF(O30=1,SUM($O$2:O30),"")</f>
        <v/>
      </c>
    </row>
    <row r="31" customFormat="false" ht="15" hidden="false" customHeight="false" outlineLevel="0" collapsed="false">
      <c r="A31" s="10" t="s">
        <v>231</v>
      </c>
      <c r="B31" s="10" t="s">
        <v>232</v>
      </c>
      <c r="C31" s="10" t="s">
        <v>37</v>
      </c>
      <c r="D31" s="10"/>
      <c r="E31" s="19" t="s">
        <v>110</v>
      </c>
      <c r="F31" s="23" t="n">
        <v>39</v>
      </c>
      <c r="G31" s="11" t="n">
        <f aca="false">SUMIFS('Issue Log'!$G$2:$G$501,'Issue Log'!$B$2:$B$501,$A31,'Issue Log'!$J$2:$J$501,"Out")</f>
        <v>0</v>
      </c>
      <c r="H31" s="11" t="n">
        <f aca="false">IF($F31="","",$F31-$G31)</f>
        <v>39</v>
      </c>
      <c r="I31" s="23" t="n">
        <v>10</v>
      </c>
      <c r="J31" s="11" t="str">
        <f aca="false">IF($F31="","Not counted",IF($H31&lt;=0,"Out of stock",IF($H31&lt;$I31,"Low stock","In stock")))</f>
        <v>In stock</v>
      </c>
      <c r="K31" s="5" t="s">
        <v>175</v>
      </c>
      <c r="M31" s="26" t="n">
        <f aca="false">IF(Search!$C$4="",0,IF(ISNUMBER(SEARCH(Search!$C$4,$A31&amp;" "&amp;$B31&amp;" "&amp;$C31&amp;" "&amp;$E31)),1,0))</f>
        <v>0</v>
      </c>
      <c r="N31" s="0" t="str">
        <f aca="false">IF(M31=1,SUM($M$2:M31),"")</f>
        <v/>
      </c>
      <c r="O31" s="26" t="n">
        <f aca="false">IF(OR($J31="Out of stock",$J31="Low stock",$J31="Not counted"),1,0)</f>
        <v>0</v>
      </c>
      <c r="P31" s="0" t="str">
        <f aca="false">IF(O31=1,SUM($O$2:O31),"")</f>
        <v/>
      </c>
    </row>
    <row r="32" customFormat="false" ht="15" hidden="false" customHeight="false" outlineLevel="0" collapsed="false">
      <c r="A32" s="10" t="s">
        <v>233</v>
      </c>
      <c r="B32" s="10" t="s">
        <v>234</v>
      </c>
      <c r="C32" s="10" t="s">
        <v>37</v>
      </c>
      <c r="D32" s="10"/>
      <c r="E32" s="19" t="s">
        <v>110</v>
      </c>
      <c r="F32" s="23" t="n">
        <v>15</v>
      </c>
      <c r="G32" s="11" t="n">
        <f aca="false">SUMIFS('Issue Log'!$G$2:$G$501,'Issue Log'!$B$2:$B$501,$A32,'Issue Log'!$J$2:$J$501,"Out")</f>
        <v>0</v>
      </c>
      <c r="H32" s="11" t="n">
        <f aca="false">IF($F32="","",$F32-$G32)</f>
        <v>15</v>
      </c>
      <c r="I32" s="23" t="n">
        <v>10</v>
      </c>
      <c r="J32" s="11" t="str">
        <f aca="false">IF($F32="","Not counted",IF($H32&lt;=0,"Out of stock",IF($H32&lt;$I32,"Low stock","In stock")))</f>
        <v>In stock</v>
      </c>
      <c r="K32" s="5" t="s">
        <v>175</v>
      </c>
      <c r="M32" s="26" t="n">
        <f aca="false">IF(Search!$C$4="",0,IF(ISNUMBER(SEARCH(Search!$C$4,$A32&amp;" "&amp;$B32&amp;" "&amp;$C32&amp;" "&amp;$E32)),1,0))</f>
        <v>0</v>
      </c>
      <c r="N32" s="0" t="str">
        <f aca="false">IF(M32=1,SUM($M$2:M32),"")</f>
        <v/>
      </c>
      <c r="O32" s="26" t="n">
        <f aca="false">IF(OR($J32="Out of stock",$J32="Low stock",$J32="Not counted"),1,0)</f>
        <v>0</v>
      </c>
      <c r="P32" s="0" t="str">
        <f aca="false">IF(O32=1,SUM($O$2:O32),"")</f>
        <v/>
      </c>
    </row>
    <row r="33" customFormat="false" ht="15" hidden="false" customHeight="false" outlineLevel="0" collapsed="false">
      <c r="A33" s="10" t="s">
        <v>235</v>
      </c>
      <c r="B33" s="10" t="s">
        <v>236</v>
      </c>
      <c r="C33" s="10" t="s">
        <v>37</v>
      </c>
      <c r="D33" s="10"/>
      <c r="E33" s="19" t="s">
        <v>110</v>
      </c>
      <c r="F33" s="23" t="n">
        <v>83</v>
      </c>
      <c r="G33" s="11" t="n">
        <f aca="false">SUMIFS('Issue Log'!$G$2:$G$501,'Issue Log'!$B$2:$B$501,$A33,'Issue Log'!$J$2:$J$501,"Out")</f>
        <v>0</v>
      </c>
      <c r="H33" s="11" t="n">
        <f aca="false">IF($F33="","",$F33-$G33)</f>
        <v>83</v>
      </c>
      <c r="I33" s="23" t="n">
        <v>10</v>
      </c>
      <c r="J33" s="11" t="str">
        <f aca="false">IF($F33="","Not counted",IF($H33&lt;=0,"Out of stock",IF($H33&lt;$I33,"Low stock","In stock")))</f>
        <v>In stock</v>
      </c>
      <c r="K33" s="5" t="s">
        <v>175</v>
      </c>
      <c r="M33" s="26" t="n">
        <f aca="false">IF(Search!$C$4="",0,IF(ISNUMBER(SEARCH(Search!$C$4,$A33&amp;" "&amp;$B33&amp;" "&amp;$C33&amp;" "&amp;$E33)),1,0))</f>
        <v>0</v>
      </c>
      <c r="N33" s="0" t="str">
        <f aca="false">IF(M33=1,SUM($M$2:M33),"")</f>
        <v/>
      </c>
      <c r="O33" s="26" t="n">
        <f aca="false">IF(OR($J33="Out of stock",$J33="Low stock",$J33="Not counted"),1,0)</f>
        <v>0</v>
      </c>
      <c r="P33" s="0" t="str">
        <f aca="false">IF(O33=1,SUM($O$2:O33),"")</f>
        <v/>
      </c>
    </row>
    <row r="34" customFormat="false" ht="15" hidden="false" customHeight="false" outlineLevel="0" collapsed="false">
      <c r="A34" s="10" t="s">
        <v>237</v>
      </c>
      <c r="B34" s="10" t="s">
        <v>238</v>
      </c>
      <c r="C34" s="10" t="s">
        <v>37</v>
      </c>
      <c r="D34" s="10"/>
      <c r="E34" s="19" t="s">
        <v>110</v>
      </c>
      <c r="F34" s="23" t="n">
        <v>11</v>
      </c>
      <c r="G34" s="11" t="n">
        <f aca="false">SUMIFS('Issue Log'!$G$2:$G$501,'Issue Log'!$B$2:$B$501,$A34,'Issue Log'!$J$2:$J$501,"Out")</f>
        <v>0</v>
      </c>
      <c r="H34" s="11" t="n">
        <f aca="false">IF($F34="","",$F34-$G34)</f>
        <v>11</v>
      </c>
      <c r="I34" s="23" t="n">
        <v>10</v>
      </c>
      <c r="J34" s="11" t="str">
        <f aca="false">IF($F34="","Not counted",IF($H34&lt;=0,"Out of stock",IF($H34&lt;$I34,"Low stock","In stock")))</f>
        <v>In stock</v>
      </c>
      <c r="K34" s="5" t="s">
        <v>175</v>
      </c>
      <c r="M34" s="26" t="n">
        <f aca="false">IF(Search!$C$4="",0,IF(ISNUMBER(SEARCH(Search!$C$4,$A34&amp;" "&amp;$B34&amp;" "&amp;$C34&amp;" "&amp;$E34)),1,0))</f>
        <v>0</v>
      </c>
      <c r="N34" s="0" t="str">
        <f aca="false">IF(M34=1,SUM($M$2:M34),"")</f>
        <v/>
      </c>
      <c r="O34" s="26" t="n">
        <f aca="false">IF(OR($J34="Out of stock",$J34="Low stock",$J34="Not counted"),1,0)</f>
        <v>0</v>
      </c>
      <c r="P34" s="0" t="str">
        <f aca="false">IF(O34=1,SUM($O$2:O34),"")</f>
        <v/>
      </c>
    </row>
    <row r="35" customFormat="false" ht="15" hidden="false" customHeight="false" outlineLevel="0" collapsed="false">
      <c r="A35" s="10" t="s">
        <v>239</v>
      </c>
      <c r="B35" s="10" t="s">
        <v>240</v>
      </c>
      <c r="C35" s="10" t="s">
        <v>37</v>
      </c>
      <c r="D35" s="10"/>
      <c r="E35" s="19" t="s">
        <v>110</v>
      </c>
      <c r="F35" s="23" t="n">
        <v>6</v>
      </c>
      <c r="G35" s="11" t="n">
        <f aca="false">SUMIFS('Issue Log'!$G$2:$G$501,'Issue Log'!$B$2:$B$501,$A35,'Issue Log'!$J$2:$J$501,"Out")</f>
        <v>0</v>
      </c>
      <c r="H35" s="11" t="n">
        <f aca="false">IF($F35="","",$F35-$G35)</f>
        <v>6</v>
      </c>
      <c r="I35" s="23" t="n">
        <v>10</v>
      </c>
      <c r="J35" s="11" t="str">
        <f aca="false">IF($F35="","Not counted",IF($H35&lt;=0,"Out of stock",IF($H35&lt;$I35,"Low stock","In stock")))</f>
        <v>Low stock</v>
      </c>
      <c r="K35" s="5" t="s">
        <v>175</v>
      </c>
      <c r="M35" s="26" t="n">
        <f aca="false">IF(Search!$C$4="",0,IF(ISNUMBER(SEARCH(Search!$C$4,$A35&amp;" "&amp;$B35&amp;" "&amp;$C35&amp;" "&amp;$E35)),1,0))</f>
        <v>0</v>
      </c>
      <c r="N35" s="0" t="str">
        <f aca="false">IF(M35=1,SUM($M$2:M35),"")</f>
        <v/>
      </c>
      <c r="O35" s="26" t="n">
        <f aca="false">IF(OR($J35="Out of stock",$J35="Low stock",$J35="Not counted"),1,0)</f>
        <v>1</v>
      </c>
      <c r="P35" s="26" t="n">
        <f aca="false">IF(O35=1,SUM($O$2:O35),"")</f>
        <v>6</v>
      </c>
    </row>
    <row r="36" customFormat="false" ht="15" hidden="false" customHeight="false" outlineLevel="0" collapsed="false">
      <c r="A36" s="10" t="s">
        <v>241</v>
      </c>
      <c r="B36" s="10" t="s">
        <v>242</v>
      </c>
      <c r="C36" s="10" t="s">
        <v>37</v>
      </c>
      <c r="D36" s="10"/>
      <c r="E36" s="19" t="s">
        <v>110</v>
      </c>
      <c r="F36" s="23" t="n">
        <v>6</v>
      </c>
      <c r="G36" s="11" t="n">
        <f aca="false">SUMIFS('Issue Log'!$G$2:$G$501,'Issue Log'!$B$2:$B$501,$A36,'Issue Log'!$J$2:$J$501,"Out")</f>
        <v>0</v>
      </c>
      <c r="H36" s="11" t="n">
        <f aca="false">IF($F36="","",$F36-$G36)</f>
        <v>6</v>
      </c>
      <c r="I36" s="23" t="n">
        <v>10</v>
      </c>
      <c r="J36" s="11" t="str">
        <f aca="false">IF($F36="","Not counted",IF($H36&lt;=0,"Out of stock",IF($H36&lt;$I36,"Low stock","In stock")))</f>
        <v>Low stock</v>
      </c>
      <c r="K36" s="5" t="s">
        <v>175</v>
      </c>
      <c r="M36" s="26" t="n">
        <f aca="false">IF(Search!$C$4="",0,IF(ISNUMBER(SEARCH(Search!$C$4,$A36&amp;" "&amp;$B36&amp;" "&amp;$C36&amp;" "&amp;$E36)),1,0))</f>
        <v>0</v>
      </c>
      <c r="N36" s="0" t="str">
        <f aca="false">IF(M36=1,SUM($M$2:M36),"")</f>
        <v/>
      </c>
      <c r="O36" s="26" t="n">
        <f aca="false">IF(OR($J36="Out of stock",$J36="Low stock",$J36="Not counted"),1,0)</f>
        <v>1</v>
      </c>
      <c r="P36" s="26" t="n">
        <f aca="false">IF(O36=1,SUM($O$2:O36),"")</f>
        <v>7</v>
      </c>
    </row>
    <row r="37" customFormat="false" ht="15" hidden="false" customHeight="false" outlineLevel="0" collapsed="false">
      <c r="A37" s="10" t="s">
        <v>243</v>
      </c>
      <c r="B37" s="10" t="s">
        <v>244</v>
      </c>
      <c r="C37" s="10" t="s">
        <v>37</v>
      </c>
      <c r="D37" s="10"/>
      <c r="E37" s="19" t="s">
        <v>110</v>
      </c>
      <c r="F37" s="23" t="n">
        <v>8</v>
      </c>
      <c r="G37" s="11" t="n">
        <f aca="false">SUMIFS('Issue Log'!$G$2:$G$501,'Issue Log'!$B$2:$B$501,$A37,'Issue Log'!$J$2:$J$501,"Out")</f>
        <v>0</v>
      </c>
      <c r="H37" s="11" t="n">
        <f aca="false">IF($F37="","",$F37-$G37)</f>
        <v>8</v>
      </c>
      <c r="I37" s="23" t="n">
        <v>10</v>
      </c>
      <c r="J37" s="11" t="str">
        <f aca="false">IF($F37="","Not counted",IF($H37&lt;=0,"Out of stock",IF($H37&lt;$I37,"Low stock","In stock")))</f>
        <v>Low stock</v>
      </c>
      <c r="K37" s="5" t="s">
        <v>175</v>
      </c>
      <c r="M37" s="26" t="n">
        <f aca="false">IF(Search!$C$4="",0,IF(ISNUMBER(SEARCH(Search!$C$4,$A37&amp;" "&amp;$B37&amp;" "&amp;$C37&amp;" "&amp;$E37)),1,0))</f>
        <v>0</v>
      </c>
      <c r="N37" s="0" t="str">
        <f aca="false">IF(M37=1,SUM($M$2:M37),"")</f>
        <v/>
      </c>
      <c r="O37" s="26" t="n">
        <f aca="false">IF(OR($J37="Out of stock",$J37="Low stock",$J37="Not counted"),1,0)</f>
        <v>1</v>
      </c>
      <c r="P37" s="26" t="n">
        <f aca="false">IF(O37=1,SUM($O$2:O37),"")</f>
        <v>8</v>
      </c>
    </row>
    <row r="38" customFormat="false" ht="15" hidden="false" customHeight="false" outlineLevel="0" collapsed="false">
      <c r="A38" s="10" t="s">
        <v>245</v>
      </c>
      <c r="B38" s="10" t="s">
        <v>246</v>
      </c>
      <c r="C38" s="10" t="s">
        <v>46</v>
      </c>
      <c r="D38" s="10"/>
      <c r="E38" s="19" t="s">
        <v>110</v>
      </c>
      <c r="F38" s="23" t="n">
        <v>9</v>
      </c>
      <c r="G38" s="11" t="n">
        <f aca="false">SUMIFS('Issue Log'!$G$2:$G$501,'Issue Log'!$B$2:$B$501,$A38,'Issue Log'!$J$2:$J$501,"Out")</f>
        <v>0</v>
      </c>
      <c r="H38" s="11" t="n">
        <f aca="false">IF($F38="","",$F38-$G38)</f>
        <v>9</v>
      </c>
      <c r="I38" s="23" t="n">
        <v>4</v>
      </c>
      <c r="J38" s="11" t="str">
        <f aca="false">IF($F38="","Not counted",IF($H38&lt;=0,"Out of stock",IF($H38&lt;$I38,"Low stock","In stock")))</f>
        <v>In stock</v>
      </c>
      <c r="K38" s="5" t="s">
        <v>175</v>
      </c>
      <c r="M38" s="26" t="n">
        <f aca="false">IF(Search!$C$4="",0,IF(ISNUMBER(SEARCH(Search!$C$4,$A38&amp;" "&amp;$B38&amp;" "&amp;$C38&amp;" "&amp;$E38)),1,0))</f>
        <v>0</v>
      </c>
      <c r="N38" s="0" t="str">
        <f aca="false">IF(M38=1,SUM($M$2:M38),"")</f>
        <v/>
      </c>
      <c r="O38" s="26" t="n">
        <f aca="false">IF(OR($J38="Out of stock",$J38="Low stock",$J38="Not counted"),1,0)</f>
        <v>0</v>
      </c>
      <c r="P38" s="0" t="str">
        <f aca="false">IF(O38=1,SUM($O$2:O38),"")</f>
        <v/>
      </c>
    </row>
    <row r="39" customFormat="false" ht="15" hidden="false" customHeight="false" outlineLevel="0" collapsed="false">
      <c r="A39" s="10" t="s">
        <v>247</v>
      </c>
      <c r="B39" s="10" t="s">
        <v>248</v>
      </c>
      <c r="C39" s="10" t="s">
        <v>47</v>
      </c>
      <c r="D39" s="10"/>
      <c r="E39" s="19" t="s">
        <v>110</v>
      </c>
      <c r="F39" s="23" t="n">
        <v>8</v>
      </c>
      <c r="G39" s="11" t="n">
        <f aca="false">SUMIFS('Issue Log'!$G$2:$G$501,'Issue Log'!$B$2:$B$501,$A39,'Issue Log'!$J$2:$J$501,"Out")</f>
        <v>0</v>
      </c>
      <c r="H39" s="11" t="n">
        <f aca="false">IF($F39="","",$F39-$G39)</f>
        <v>8</v>
      </c>
      <c r="I39" s="23" t="n">
        <v>4</v>
      </c>
      <c r="J39" s="11" t="str">
        <f aca="false">IF($F39="","Not counted",IF($H39&lt;=0,"Out of stock",IF($H39&lt;$I39,"Low stock","In stock")))</f>
        <v>In stock</v>
      </c>
      <c r="K39" s="5" t="s">
        <v>175</v>
      </c>
      <c r="M39" s="26" t="n">
        <f aca="false">IF(Search!$C$4="",0,IF(ISNUMBER(SEARCH(Search!$C$4,$A39&amp;" "&amp;$B39&amp;" "&amp;$C39&amp;" "&amp;$E39)),1,0))</f>
        <v>0</v>
      </c>
      <c r="N39" s="0" t="str">
        <f aca="false">IF(M39=1,SUM($M$2:M39),"")</f>
        <v/>
      </c>
      <c r="O39" s="26" t="n">
        <f aca="false">IF(OR($J39="Out of stock",$J39="Low stock",$J39="Not counted"),1,0)</f>
        <v>0</v>
      </c>
      <c r="P39" s="0" t="str">
        <f aca="false">IF(O39=1,SUM($O$2:O39),"")</f>
        <v/>
      </c>
    </row>
    <row r="40" customFormat="false" ht="15" hidden="false" customHeight="false" outlineLevel="0" collapsed="false">
      <c r="A40" s="10" t="s">
        <v>249</v>
      </c>
      <c r="B40" s="10" t="s">
        <v>250</v>
      </c>
      <c r="C40" s="10" t="s">
        <v>37</v>
      </c>
      <c r="D40" s="10"/>
      <c r="E40" s="19" t="s">
        <v>111</v>
      </c>
      <c r="F40" s="23" t="n">
        <v>65</v>
      </c>
      <c r="G40" s="11" t="n">
        <f aca="false">SUMIFS('Issue Log'!$G$2:$G$501,'Issue Log'!$B$2:$B$501,$A40,'Issue Log'!$J$2:$J$501,"Out")</f>
        <v>0</v>
      </c>
      <c r="H40" s="11" t="n">
        <f aca="false">IF($F40="","",$F40-$G40)</f>
        <v>65</v>
      </c>
      <c r="I40" s="23" t="n">
        <v>10</v>
      </c>
      <c r="J40" s="11" t="str">
        <f aca="false">IF($F40="","Not counted",IF($H40&lt;=0,"Out of stock",IF($H40&lt;$I40,"Low stock","In stock")))</f>
        <v>In stock</v>
      </c>
      <c r="K40" s="5" t="s">
        <v>175</v>
      </c>
      <c r="M40" s="26" t="n">
        <f aca="false">IF(Search!$C$4="",0,IF(ISNUMBER(SEARCH(Search!$C$4,$A40&amp;" "&amp;$B40&amp;" "&amp;$C40&amp;" "&amp;$E40)),1,0))</f>
        <v>0</v>
      </c>
      <c r="N40" s="0" t="str">
        <f aca="false">IF(M40=1,SUM($M$2:M40),"")</f>
        <v/>
      </c>
      <c r="O40" s="26" t="n">
        <f aca="false">IF(OR($J40="Out of stock",$J40="Low stock",$J40="Not counted"),1,0)</f>
        <v>0</v>
      </c>
      <c r="P40" s="0" t="str">
        <f aca="false">IF(O40=1,SUM($O$2:O40),"")</f>
        <v/>
      </c>
    </row>
    <row r="41" customFormat="false" ht="15" hidden="false" customHeight="false" outlineLevel="0" collapsed="false">
      <c r="A41" s="10" t="s">
        <v>251</v>
      </c>
      <c r="B41" s="10" t="s">
        <v>252</v>
      </c>
      <c r="C41" s="10" t="s">
        <v>37</v>
      </c>
      <c r="D41" s="10"/>
      <c r="E41" s="19" t="s">
        <v>111</v>
      </c>
      <c r="F41" s="23" t="n">
        <v>29</v>
      </c>
      <c r="G41" s="11" t="n">
        <f aca="false">SUMIFS('Issue Log'!$G$2:$G$501,'Issue Log'!$B$2:$B$501,$A41,'Issue Log'!$J$2:$J$501,"Out")</f>
        <v>0</v>
      </c>
      <c r="H41" s="11" t="n">
        <f aca="false">IF($F41="","",$F41-$G41)</f>
        <v>29</v>
      </c>
      <c r="I41" s="23" t="n">
        <v>10</v>
      </c>
      <c r="J41" s="11" t="str">
        <f aca="false">IF($F41="","Not counted",IF($H41&lt;=0,"Out of stock",IF($H41&lt;$I41,"Low stock","In stock")))</f>
        <v>In stock</v>
      </c>
      <c r="K41" s="5" t="s">
        <v>175</v>
      </c>
      <c r="M41" s="26" t="n">
        <f aca="false">IF(Search!$C$4="",0,IF(ISNUMBER(SEARCH(Search!$C$4,$A41&amp;" "&amp;$B41&amp;" "&amp;$C41&amp;" "&amp;$E41)),1,0))</f>
        <v>0</v>
      </c>
      <c r="N41" s="0" t="str">
        <f aca="false">IF(M41=1,SUM($M$2:M41),"")</f>
        <v/>
      </c>
      <c r="O41" s="26" t="n">
        <f aca="false">IF(OR($J41="Out of stock",$J41="Low stock",$J41="Not counted"),1,0)</f>
        <v>0</v>
      </c>
      <c r="P41" s="0" t="str">
        <f aca="false">IF(O41=1,SUM($O$2:O41),"")</f>
        <v/>
      </c>
    </row>
    <row r="42" customFormat="false" ht="15" hidden="false" customHeight="false" outlineLevel="0" collapsed="false">
      <c r="A42" s="10" t="s">
        <v>253</v>
      </c>
      <c r="B42" s="10" t="s">
        <v>254</v>
      </c>
      <c r="C42" s="10" t="s">
        <v>37</v>
      </c>
      <c r="D42" s="10"/>
      <c r="E42" s="19" t="s">
        <v>111</v>
      </c>
      <c r="F42" s="23" t="n">
        <v>14</v>
      </c>
      <c r="G42" s="11" t="n">
        <f aca="false">SUMIFS('Issue Log'!$G$2:$G$501,'Issue Log'!$B$2:$B$501,$A42,'Issue Log'!$J$2:$J$501,"Out")</f>
        <v>0</v>
      </c>
      <c r="H42" s="11" t="n">
        <f aca="false">IF($F42="","",$F42-$G42)</f>
        <v>14</v>
      </c>
      <c r="I42" s="23" t="n">
        <v>10</v>
      </c>
      <c r="J42" s="11" t="str">
        <f aca="false">IF($F42="","Not counted",IF($H42&lt;=0,"Out of stock",IF($H42&lt;$I42,"Low stock","In stock")))</f>
        <v>In stock</v>
      </c>
      <c r="K42" s="5" t="s">
        <v>175</v>
      </c>
      <c r="M42" s="26" t="n">
        <f aca="false">IF(Search!$C$4="",0,IF(ISNUMBER(SEARCH(Search!$C$4,$A42&amp;" "&amp;$B42&amp;" "&amp;$C42&amp;" "&amp;$E42)),1,0))</f>
        <v>0</v>
      </c>
      <c r="N42" s="0" t="str">
        <f aca="false">IF(M42=1,SUM($M$2:M42),"")</f>
        <v/>
      </c>
      <c r="O42" s="26" t="n">
        <f aca="false">IF(OR($J42="Out of stock",$J42="Low stock",$J42="Not counted"),1,0)</f>
        <v>0</v>
      </c>
      <c r="P42" s="0" t="str">
        <f aca="false">IF(O42=1,SUM($O$2:O42),"")</f>
        <v/>
      </c>
    </row>
    <row r="43" customFormat="false" ht="15" hidden="false" customHeight="false" outlineLevel="0" collapsed="false">
      <c r="A43" s="10" t="s">
        <v>255</v>
      </c>
      <c r="B43" s="10" t="s">
        <v>256</v>
      </c>
      <c r="C43" s="10" t="s">
        <v>37</v>
      </c>
      <c r="D43" s="10"/>
      <c r="E43" s="19" t="s">
        <v>111</v>
      </c>
      <c r="F43" s="23" t="n">
        <v>14</v>
      </c>
      <c r="G43" s="11" t="n">
        <f aca="false">SUMIFS('Issue Log'!$G$2:$G$501,'Issue Log'!$B$2:$B$501,$A43,'Issue Log'!$J$2:$J$501,"Out")</f>
        <v>0</v>
      </c>
      <c r="H43" s="11" t="n">
        <f aca="false">IF($F43="","",$F43-$G43)</f>
        <v>14</v>
      </c>
      <c r="I43" s="23" t="n">
        <v>10</v>
      </c>
      <c r="J43" s="11" t="str">
        <f aca="false">IF($F43="","Not counted",IF($H43&lt;=0,"Out of stock",IF($H43&lt;$I43,"Low stock","In stock")))</f>
        <v>In stock</v>
      </c>
      <c r="K43" s="5" t="s">
        <v>175</v>
      </c>
      <c r="M43" s="26" t="n">
        <f aca="false">IF(Search!$C$4="",0,IF(ISNUMBER(SEARCH(Search!$C$4,$A43&amp;" "&amp;$B43&amp;" "&amp;$C43&amp;" "&amp;$E43)),1,0))</f>
        <v>0</v>
      </c>
      <c r="N43" s="0" t="str">
        <f aca="false">IF(M43=1,SUM($M$2:M43),"")</f>
        <v/>
      </c>
      <c r="O43" s="26" t="n">
        <f aca="false">IF(OR($J43="Out of stock",$J43="Low stock",$J43="Not counted"),1,0)</f>
        <v>0</v>
      </c>
      <c r="P43" s="0" t="str">
        <f aca="false">IF(O43=1,SUM($O$2:O43),"")</f>
        <v/>
      </c>
    </row>
    <row r="44" customFormat="false" ht="15" hidden="false" customHeight="false" outlineLevel="0" collapsed="false">
      <c r="A44" s="10" t="s">
        <v>257</v>
      </c>
      <c r="B44" s="10" t="s">
        <v>258</v>
      </c>
      <c r="C44" s="10" t="s">
        <v>37</v>
      </c>
      <c r="D44" s="10"/>
      <c r="E44" s="19" t="s">
        <v>111</v>
      </c>
      <c r="F44" s="23" t="n">
        <v>14</v>
      </c>
      <c r="G44" s="11" t="n">
        <f aca="false">SUMIFS('Issue Log'!$G$2:$G$501,'Issue Log'!$B$2:$B$501,$A44,'Issue Log'!$J$2:$J$501,"Out")</f>
        <v>0</v>
      </c>
      <c r="H44" s="11" t="n">
        <f aca="false">IF($F44="","",$F44-$G44)</f>
        <v>14</v>
      </c>
      <c r="I44" s="23" t="n">
        <v>10</v>
      </c>
      <c r="J44" s="11" t="str">
        <f aca="false">IF($F44="","Not counted",IF($H44&lt;=0,"Out of stock",IF($H44&lt;$I44,"Low stock","In stock")))</f>
        <v>In stock</v>
      </c>
      <c r="K44" s="5" t="s">
        <v>175</v>
      </c>
      <c r="M44" s="26" t="n">
        <f aca="false">IF(Search!$C$4="",0,IF(ISNUMBER(SEARCH(Search!$C$4,$A44&amp;" "&amp;$B44&amp;" "&amp;$C44&amp;" "&amp;$E44)),1,0))</f>
        <v>0</v>
      </c>
      <c r="N44" s="0" t="str">
        <f aca="false">IF(M44=1,SUM($M$2:M44),"")</f>
        <v/>
      </c>
      <c r="O44" s="26" t="n">
        <f aca="false">IF(OR($J44="Out of stock",$J44="Low stock",$J44="Not counted"),1,0)</f>
        <v>0</v>
      </c>
      <c r="P44" s="0" t="str">
        <f aca="false">IF(O44=1,SUM($O$2:O44),"")</f>
        <v/>
      </c>
    </row>
    <row r="45" customFormat="false" ht="15" hidden="false" customHeight="false" outlineLevel="0" collapsed="false">
      <c r="A45" s="10" t="s">
        <v>259</v>
      </c>
      <c r="B45" s="10" t="s">
        <v>260</v>
      </c>
      <c r="C45" s="10" t="s">
        <v>37</v>
      </c>
      <c r="D45" s="10"/>
      <c r="E45" s="19" t="s">
        <v>111</v>
      </c>
      <c r="F45" s="23" t="n">
        <v>64</v>
      </c>
      <c r="G45" s="11" t="n">
        <f aca="false">SUMIFS('Issue Log'!$G$2:$G$501,'Issue Log'!$B$2:$B$501,$A45,'Issue Log'!$J$2:$J$501,"Out")</f>
        <v>0</v>
      </c>
      <c r="H45" s="11" t="n">
        <f aca="false">IF($F45="","",$F45-$G45)</f>
        <v>64</v>
      </c>
      <c r="I45" s="23" t="n">
        <v>10</v>
      </c>
      <c r="J45" s="11" t="str">
        <f aca="false">IF($F45="","Not counted",IF($H45&lt;=0,"Out of stock",IF($H45&lt;$I45,"Low stock","In stock")))</f>
        <v>In stock</v>
      </c>
      <c r="K45" s="5" t="s">
        <v>175</v>
      </c>
      <c r="M45" s="26" t="n">
        <f aca="false">IF(Search!$C$4="",0,IF(ISNUMBER(SEARCH(Search!$C$4,$A45&amp;" "&amp;$B45&amp;" "&amp;$C45&amp;" "&amp;$E45)),1,0))</f>
        <v>0</v>
      </c>
      <c r="N45" s="0" t="str">
        <f aca="false">IF(M45=1,SUM($M$2:M45),"")</f>
        <v/>
      </c>
      <c r="O45" s="26" t="n">
        <f aca="false">IF(OR($J45="Out of stock",$J45="Low stock",$J45="Not counted"),1,0)</f>
        <v>0</v>
      </c>
      <c r="P45" s="0" t="str">
        <f aca="false">IF(O45=1,SUM($O$2:O45),"")</f>
        <v/>
      </c>
    </row>
    <row r="46" customFormat="false" ht="15" hidden="false" customHeight="false" outlineLevel="0" collapsed="false">
      <c r="A46" s="10" t="s">
        <v>261</v>
      </c>
      <c r="B46" s="10" t="s">
        <v>262</v>
      </c>
      <c r="C46" s="10" t="s">
        <v>37</v>
      </c>
      <c r="D46" s="10"/>
      <c r="E46" s="19" t="s">
        <v>111</v>
      </c>
      <c r="F46" s="23" t="n">
        <v>12</v>
      </c>
      <c r="G46" s="11" t="n">
        <f aca="false">SUMIFS('Issue Log'!$G$2:$G$501,'Issue Log'!$B$2:$B$501,$A46,'Issue Log'!$J$2:$J$501,"Out")</f>
        <v>0</v>
      </c>
      <c r="H46" s="11" t="n">
        <f aca="false">IF($F46="","",$F46-$G46)</f>
        <v>12</v>
      </c>
      <c r="I46" s="23" t="n">
        <v>10</v>
      </c>
      <c r="J46" s="11" t="str">
        <f aca="false">IF($F46="","Not counted",IF($H46&lt;=0,"Out of stock",IF($H46&lt;$I46,"Low stock","In stock")))</f>
        <v>In stock</v>
      </c>
      <c r="K46" s="5" t="s">
        <v>175</v>
      </c>
      <c r="M46" s="26" t="n">
        <f aca="false">IF(Search!$C$4="",0,IF(ISNUMBER(SEARCH(Search!$C$4,$A46&amp;" "&amp;$B46&amp;" "&amp;$C46&amp;" "&amp;$E46)),1,0))</f>
        <v>0</v>
      </c>
      <c r="N46" s="0" t="str">
        <f aca="false">IF(M46=1,SUM($M$2:M46),"")</f>
        <v/>
      </c>
      <c r="O46" s="26" t="n">
        <f aca="false">IF(OR($J46="Out of stock",$J46="Low stock",$J46="Not counted"),1,0)</f>
        <v>0</v>
      </c>
      <c r="P46" s="0" t="str">
        <f aca="false">IF(O46=1,SUM($O$2:O46),"")</f>
        <v/>
      </c>
    </row>
    <row r="47" customFormat="false" ht="15" hidden="false" customHeight="false" outlineLevel="0" collapsed="false">
      <c r="A47" s="10" t="s">
        <v>263</v>
      </c>
      <c r="B47" s="10" t="s">
        <v>264</v>
      </c>
      <c r="C47" s="10" t="s">
        <v>37</v>
      </c>
      <c r="D47" s="10"/>
      <c r="E47" s="19" t="s">
        <v>111</v>
      </c>
      <c r="F47" s="23" t="n">
        <v>19</v>
      </c>
      <c r="G47" s="11" t="n">
        <f aca="false">SUMIFS('Issue Log'!$G$2:$G$501,'Issue Log'!$B$2:$B$501,$A47,'Issue Log'!$J$2:$J$501,"Out")</f>
        <v>0</v>
      </c>
      <c r="H47" s="11" t="n">
        <f aca="false">IF($F47="","",$F47-$G47)</f>
        <v>19</v>
      </c>
      <c r="I47" s="23" t="n">
        <v>10</v>
      </c>
      <c r="J47" s="11" t="str">
        <f aca="false">IF($F47="","Not counted",IF($H47&lt;=0,"Out of stock",IF($H47&lt;$I47,"Low stock","In stock")))</f>
        <v>In stock</v>
      </c>
      <c r="K47" s="5" t="s">
        <v>175</v>
      </c>
      <c r="M47" s="26" t="n">
        <f aca="false">IF(Search!$C$4="",0,IF(ISNUMBER(SEARCH(Search!$C$4,$A47&amp;" "&amp;$B47&amp;" "&amp;$C47&amp;" "&amp;$E47)),1,0))</f>
        <v>0</v>
      </c>
      <c r="N47" s="0" t="str">
        <f aca="false">IF(M47=1,SUM($M$2:M47),"")</f>
        <v/>
      </c>
      <c r="O47" s="26" t="n">
        <f aca="false">IF(OR($J47="Out of stock",$J47="Low stock",$J47="Not counted"),1,0)</f>
        <v>0</v>
      </c>
      <c r="P47" s="0" t="str">
        <f aca="false">IF(O47=1,SUM($O$2:O47),"")</f>
        <v/>
      </c>
    </row>
    <row r="48" customFormat="false" ht="15" hidden="false" customHeight="false" outlineLevel="0" collapsed="false">
      <c r="A48" s="10" t="s">
        <v>265</v>
      </c>
      <c r="B48" s="10" t="s">
        <v>266</v>
      </c>
      <c r="C48" s="10" t="s">
        <v>37</v>
      </c>
      <c r="D48" s="10"/>
      <c r="E48" s="19" t="s">
        <v>111</v>
      </c>
      <c r="F48" s="23" t="n">
        <v>7</v>
      </c>
      <c r="G48" s="11" t="n">
        <f aca="false">SUMIFS('Issue Log'!$G$2:$G$501,'Issue Log'!$B$2:$B$501,$A48,'Issue Log'!$J$2:$J$501,"Out")</f>
        <v>0</v>
      </c>
      <c r="H48" s="11" t="n">
        <f aca="false">IF($F48="","",$F48-$G48)</f>
        <v>7</v>
      </c>
      <c r="I48" s="23" t="n">
        <v>10</v>
      </c>
      <c r="J48" s="11" t="str">
        <f aca="false">IF($F48="","Not counted",IF($H48&lt;=0,"Out of stock",IF($H48&lt;$I48,"Low stock","In stock")))</f>
        <v>Low stock</v>
      </c>
      <c r="K48" s="5" t="s">
        <v>175</v>
      </c>
      <c r="M48" s="26" t="n">
        <f aca="false">IF(Search!$C$4="",0,IF(ISNUMBER(SEARCH(Search!$C$4,$A48&amp;" "&amp;$B48&amp;" "&amp;$C48&amp;" "&amp;$E48)),1,0))</f>
        <v>0</v>
      </c>
      <c r="N48" s="0" t="str">
        <f aca="false">IF(M48=1,SUM($M$2:M48),"")</f>
        <v/>
      </c>
      <c r="O48" s="26" t="n">
        <f aca="false">IF(OR($J48="Out of stock",$J48="Low stock",$J48="Not counted"),1,0)</f>
        <v>1</v>
      </c>
      <c r="P48" s="26" t="n">
        <f aca="false">IF(O48=1,SUM($O$2:O48),"")</f>
        <v>9</v>
      </c>
    </row>
    <row r="49" customFormat="false" ht="15" hidden="false" customHeight="false" outlineLevel="0" collapsed="false">
      <c r="A49" s="10" t="s">
        <v>267</v>
      </c>
      <c r="B49" s="10" t="s">
        <v>268</v>
      </c>
      <c r="C49" s="10" t="s">
        <v>37</v>
      </c>
      <c r="D49" s="10"/>
      <c r="E49" s="19" t="s">
        <v>111</v>
      </c>
      <c r="F49" s="23" t="n">
        <v>7</v>
      </c>
      <c r="G49" s="11" t="n">
        <f aca="false">SUMIFS('Issue Log'!$G$2:$G$501,'Issue Log'!$B$2:$B$501,$A49,'Issue Log'!$J$2:$J$501,"Out")</f>
        <v>0</v>
      </c>
      <c r="H49" s="11" t="n">
        <f aca="false">IF($F49="","",$F49-$G49)</f>
        <v>7</v>
      </c>
      <c r="I49" s="23" t="n">
        <v>10</v>
      </c>
      <c r="J49" s="11" t="str">
        <f aca="false">IF($F49="","Not counted",IF($H49&lt;=0,"Out of stock",IF($H49&lt;$I49,"Low stock","In stock")))</f>
        <v>Low stock</v>
      </c>
      <c r="K49" s="5" t="s">
        <v>175</v>
      </c>
      <c r="M49" s="26" t="n">
        <f aca="false">IF(Search!$C$4="",0,IF(ISNUMBER(SEARCH(Search!$C$4,$A49&amp;" "&amp;$B49&amp;" "&amp;$C49&amp;" "&amp;$E49)),1,0))</f>
        <v>0</v>
      </c>
      <c r="N49" s="0" t="str">
        <f aca="false">IF(M49=1,SUM($M$2:M49),"")</f>
        <v/>
      </c>
      <c r="O49" s="26" t="n">
        <f aca="false">IF(OR($J49="Out of stock",$J49="Low stock",$J49="Not counted"),1,0)</f>
        <v>1</v>
      </c>
      <c r="P49" s="26" t="n">
        <f aca="false">IF(O49=1,SUM($O$2:O49),"")</f>
        <v>10</v>
      </c>
    </row>
    <row r="50" customFormat="false" ht="15" hidden="false" customHeight="false" outlineLevel="0" collapsed="false">
      <c r="A50" s="10" t="s">
        <v>269</v>
      </c>
      <c r="B50" s="10" t="s">
        <v>270</v>
      </c>
      <c r="C50" s="10" t="s">
        <v>46</v>
      </c>
      <c r="D50" s="10"/>
      <c r="E50" s="19" t="s">
        <v>111</v>
      </c>
      <c r="F50" s="23" t="n">
        <v>5</v>
      </c>
      <c r="G50" s="11" t="n">
        <f aca="false">SUMIFS('Issue Log'!$G$2:$G$501,'Issue Log'!$B$2:$B$501,$A50,'Issue Log'!$J$2:$J$501,"Out")</f>
        <v>0</v>
      </c>
      <c r="H50" s="11" t="n">
        <f aca="false">IF($F50="","",$F50-$G50)</f>
        <v>5</v>
      </c>
      <c r="I50" s="23" t="n">
        <v>4</v>
      </c>
      <c r="J50" s="11" t="str">
        <f aca="false">IF($F50="","Not counted",IF($H50&lt;=0,"Out of stock",IF($H50&lt;$I50,"Low stock","In stock")))</f>
        <v>In stock</v>
      </c>
      <c r="K50" s="5" t="s">
        <v>175</v>
      </c>
      <c r="M50" s="26" t="n">
        <f aca="false">IF(Search!$C$4="",0,IF(ISNUMBER(SEARCH(Search!$C$4,$A50&amp;" "&amp;$B50&amp;" "&amp;$C50&amp;" "&amp;$E50)),1,0))</f>
        <v>0</v>
      </c>
      <c r="N50" s="0" t="str">
        <f aca="false">IF(M50=1,SUM($M$2:M50),"")</f>
        <v/>
      </c>
      <c r="O50" s="26" t="n">
        <f aca="false">IF(OR($J50="Out of stock",$J50="Low stock",$J50="Not counted"),1,0)</f>
        <v>0</v>
      </c>
      <c r="P50" s="0" t="str">
        <f aca="false">IF(O50=1,SUM($O$2:O50),"")</f>
        <v/>
      </c>
    </row>
    <row r="51" customFormat="false" ht="15" hidden="false" customHeight="false" outlineLevel="0" collapsed="false">
      <c r="A51" s="10" t="s">
        <v>271</v>
      </c>
      <c r="B51" s="10" t="s">
        <v>272</v>
      </c>
      <c r="C51" s="10" t="s">
        <v>68</v>
      </c>
      <c r="D51" s="10"/>
      <c r="E51" s="19" t="s">
        <v>112</v>
      </c>
      <c r="F51" s="23" t="n">
        <v>50</v>
      </c>
      <c r="G51" s="11" t="n">
        <f aca="false">SUMIFS('Issue Log'!$G$2:$G$501,'Issue Log'!$B$2:$B$501,$A51,'Issue Log'!$J$2:$J$501,"Out")</f>
        <v>0</v>
      </c>
      <c r="H51" s="11" t="n">
        <f aca="false">IF($F51="","",$F51-$G51)</f>
        <v>50</v>
      </c>
      <c r="I51" s="23" t="n">
        <v>10</v>
      </c>
      <c r="J51" s="11" t="str">
        <f aca="false">IF($F51="","Not counted",IF($H51&lt;=0,"Out of stock",IF($H51&lt;$I51,"Low stock","In stock")))</f>
        <v>In stock</v>
      </c>
      <c r="K51" s="5" t="s">
        <v>175</v>
      </c>
      <c r="M51" s="26" t="n">
        <f aca="false">IF(Search!$C$4="",0,IF(ISNUMBER(SEARCH(Search!$C$4,$A51&amp;" "&amp;$B51&amp;" "&amp;$C51&amp;" "&amp;$E51)),1,0))</f>
        <v>1</v>
      </c>
      <c r="N51" s="26" t="n">
        <f aca="false">IF(M51=1,SUM($M$2:M51),"")</f>
        <v>15</v>
      </c>
      <c r="O51" s="26" t="n">
        <f aca="false">IF(OR($J51="Out of stock",$J51="Low stock",$J51="Not counted"),1,0)</f>
        <v>0</v>
      </c>
      <c r="P51" s="0" t="str">
        <f aca="false">IF(O51=1,SUM($O$2:O51),"")</f>
        <v/>
      </c>
    </row>
    <row r="52" customFormat="false" ht="15" hidden="false" customHeight="false" outlineLevel="0" collapsed="false">
      <c r="A52" s="10" t="s">
        <v>273</v>
      </c>
      <c r="B52" s="10" t="s">
        <v>274</v>
      </c>
      <c r="C52" s="10" t="s">
        <v>68</v>
      </c>
      <c r="D52" s="10"/>
      <c r="E52" s="19" t="s">
        <v>112</v>
      </c>
      <c r="F52" s="23" t="n">
        <v>100</v>
      </c>
      <c r="G52" s="11" t="n">
        <f aca="false">SUMIFS('Issue Log'!$G$2:$G$501,'Issue Log'!$B$2:$B$501,$A52,'Issue Log'!$J$2:$J$501,"Out")</f>
        <v>0</v>
      </c>
      <c r="H52" s="11" t="n">
        <f aca="false">IF($F52="","",$F52-$G52)</f>
        <v>100</v>
      </c>
      <c r="I52" s="23" t="n">
        <v>10</v>
      </c>
      <c r="J52" s="11" t="str">
        <f aca="false">IF($F52="","Not counted",IF($H52&lt;=0,"Out of stock",IF($H52&lt;$I52,"Low stock","In stock")))</f>
        <v>In stock</v>
      </c>
      <c r="K52" s="5" t="s">
        <v>175</v>
      </c>
      <c r="M52" s="26" t="n">
        <f aca="false">IF(Search!$C$4="",0,IF(ISNUMBER(SEARCH(Search!$C$4,$A52&amp;" "&amp;$B52&amp;" "&amp;$C52&amp;" "&amp;$E52)),1,0))</f>
        <v>1</v>
      </c>
      <c r="N52" s="26" t="n">
        <f aca="false">IF(M52=1,SUM($M$2:M52),"")</f>
        <v>16</v>
      </c>
      <c r="O52" s="26" t="n">
        <f aca="false">IF(OR($J52="Out of stock",$J52="Low stock",$J52="Not counted"),1,0)</f>
        <v>0</v>
      </c>
      <c r="P52" s="0" t="str">
        <f aca="false">IF(O52=1,SUM($O$2:O52),"")</f>
        <v/>
      </c>
    </row>
    <row r="53" customFormat="false" ht="15" hidden="false" customHeight="false" outlineLevel="0" collapsed="false">
      <c r="A53" s="10" t="s">
        <v>275</v>
      </c>
      <c r="B53" s="10" t="s">
        <v>276</v>
      </c>
      <c r="C53" s="10" t="s">
        <v>68</v>
      </c>
      <c r="D53" s="10"/>
      <c r="E53" s="19" t="s">
        <v>112</v>
      </c>
      <c r="F53" s="23" t="n">
        <v>50</v>
      </c>
      <c r="G53" s="11" t="n">
        <f aca="false">SUMIFS('Issue Log'!$G$2:$G$501,'Issue Log'!$B$2:$B$501,$A53,'Issue Log'!$J$2:$J$501,"Out")</f>
        <v>0</v>
      </c>
      <c r="H53" s="11" t="n">
        <f aca="false">IF($F53="","",$F53-$G53)</f>
        <v>50</v>
      </c>
      <c r="I53" s="23" t="n">
        <v>10</v>
      </c>
      <c r="J53" s="11" t="str">
        <f aca="false">IF($F53="","Not counted",IF($H53&lt;=0,"Out of stock",IF($H53&lt;$I53,"Low stock","In stock")))</f>
        <v>In stock</v>
      </c>
      <c r="K53" s="5" t="s">
        <v>175</v>
      </c>
      <c r="M53" s="26" t="n">
        <f aca="false">IF(Search!$C$4="",0,IF(ISNUMBER(SEARCH(Search!$C$4,$A53&amp;" "&amp;$B53&amp;" "&amp;$C53&amp;" "&amp;$E53)),1,0))</f>
        <v>1</v>
      </c>
      <c r="N53" s="26" t="n">
        <f aca="false">IF(M53=1,SUM($M$2:M53),"")</f>
        <v>17</v>
      </c>
      <c r="O53" s="26" t="n">
        <f aca="false">IF(OR($J53="Out of stock",$J53="Low stock",$J53="Not counted"),1,0)</f>
        <v>0</v>
      </c>
      <c r="P53" s="0" t="str">
        <f aca="false">IF(O53=1,SUM($O$2:O53),"")</f>
        <v/>
      </c>
    </row>
    <row r="54" customFormat="false" ht="15" hidden="false" customHeight="false" outlineLevel="0" collapsed="false">
      <c r="A54" s="10" t="s">
        <v>277</v>
      </c>
      <c r="B54" s="10" t="s">
        <v>278</v>
      </c>
      <c r="C54" s="10" t="s">
        <v>68</v>
      </c>
      <c r="D54" s="10"/>
      <c r="E54" s="19" t="s">
        <v>112</v>
      </c>
      <c r="F54" s="23" t="n">
        <v>25</v>
      </c>
      <c r="G54" s="11" t="n">
        <f aca="false">SUMIFS('Issue Log'!$G$2:$G$501,'Issue Log'!$B$2:$B$501,$A54,'Issue Log'!$J$2:$J$501,"Out")</f>
        <v>0</v>
      </c>
      <c r="H54" s="11" t="n">
        <f aca="false">IF($F54="","",$F54-$G54)</f>
        <v>25</v>
      </c>
      <c r="I54" s="23" t="n">
        <v>10</v>
      </c>
      <c r="J54" s="11" t="str">
        <f aca="false">IF($F54="","Not counted",IF($H54&lt;=0,"Out of stock",IF($H54&lt;$I54,"Low stock","In stock")))</f>
        <v>In stock</v>
      </c>
      <c r="K54" s="5" t="s">
        <v>175</v>
      </c>
      <c r="M54" s="26" t="n">
        <f aca="false">IF(Search!$C$4="",0,IF(ISNUMBER(SEARCH(Search!$C$4,$A54&amp;" "&amp;$B54&amp;" "&amp;$C54&amp;" "&amp;$E54)),1,0))</f>
        <v>1</v>
      </c>
      <c r="N54" s="26" t="n">
        <f aca="false">IF(M54=1,SUM($M$2:M54),"")</f>
        <v>18</v>
      </c>
      <c r="O54" s="26" t="n">
        <f aca="false">IF(OR($J54="Out of stock",$J54="Low stock",$J54="Not counted"),1,0)</f>
        <v>0</v>
      </c>
      <c r="P54" s="0" t="str">
        <f aca="false">IF(O54=1,SUM($O$2:O54),"")</f>
        <v/>
      </c>
    </row>
    <row r="55" customFormat="false" ht="15" hidden="false" customHeight="false" outlineLevel="0" collapsed="false">
      <c r="A55" s="10" t="s">
        <v>279</v>
      </c>
      <c r="B55" s="10" t="s">
        <v>280</v>
      </c>
      <c r="C55" s="10" t="s">
        <v>68</v>
      </c>
      <c r="D55" s="10"/>
      <c r="E55" s="19" t="s">
        <v>112</v>
      </c>
      <c r="F55" s="23" t="n">
        <v>20</v>
      </c>
      <c r="G55" s="11" t="n">
        <f aca="false">SUMIFS('Issue Log'!$G$2:$G$501,'Issue Log'!$B$2:$B$501,$A55,'Issue Log'!$J$2:$J$501,"Out")</f>
        <v>0</v>
      </c>
      <c r="H55" s="11" t="n">
        <f aca="false">IF($F55="","",$F55-$G55)</f>
        <v>20</v>
      </c>
      <c r="I55" s="23" t="n">
        <v>10</v>
      </c>
      <c r="J55" s="11" t="str">
        <f aca="false">IF($F55="","Not counted",IF($H55&lt;=0,"Out of stock",IF($H55&lt;$I55,"Low stock","In stock")))</f>
        <v>In stock</v>
      </c>
      <c r="K55" s="5" t="s">
        <v>175</v>
      </c>
      <c r="M55" s="26" t="n">
        <f aca="false">IF(Search!$C$4="",0,IF(ISNUMBER(SEARCH(Search!$C$4,$A55&amp;" "&amp;$B55&amp;" "&amp;$C55&amp;" "&amp;$E55)),1,0))</f>
        <v>1</v>
      </c>
      <c r="N55" s="26" t="n">
        <f aca="false">IF(M55=1,SUM($M$2:M55),"")</f>
        <v>19</v>
      </c>
      <c r="O55" s="26" t="n">
        <f aca="false">IF(OR($J55="Out of stock",$J55="Low stock",$J55="Not counted"),1,0)</f>
        <v>0</v>
      </c>
      <c r="P55" s="0" t="str">
        <f aca="false">IF(O55=1,SUM($O$2:O55),"")</f>
        <v/>
      </c>
    </row>
    <row r="56" customFormat="false" ht="15" hidden="false" customHeight="false" outlineLevel="0" collapsed="false">
      <c r="A56" s="10" t="s">
        <v>281</v>
      </c>
      <c r="B56" s="10" t="s">
        <v>282</v>
      </c>
      <c r="C56" s="10" t="s">
        <v>69</v>
      </c>
      <c r="D56" s="10"/>
      <c r="E56" s="19" t="s">
        <v>117</v>
      </c>
      <c r="F56" s="23" t="n">
        <v>4</v>
      </c>
      <c r="G56" s="11" t="n">
        <f aca="false">SUMIFS('Issue Log'!$G$2:$G$501,'Issue Log'!$B$2:$B$501,$A56,'Issue Log'!$J$2:$J$501,"Out")</f>
        <v>0</v>
      </c>
      <c r="H56" s="11" t="n">
        <f aca="false">IF($F56="","",$F56-$G56)</f>
        <v>4</v>
      </c>
      <c r="I56" s="23" t="n">
        <v>2</v>
      </c>
      <c r="J56" s="11" t="str">
        <f aca="false">IF($F56="","Not counted",IF($H56&lt;=0,"Out of stock",IF($H56&lt;$I56,"Low stock","In stock")))</f>
        <v>In stock</v>
      </c>
      <c r="K56" s="5" t="s">
        <v>175</v>
      </c>
      <c r="M56" s="26" t="n">
        <f aca="false">IF(Search!$C$4="",0,IF(ISNUMBER(SEARCH(Search!$C$4,$A56&amp;" "&amp;$B56&amp;" "&amp;$C56&amp;" "&amp;$E56)),1,0))</f>
        <v>0</v>
      </c>
      <c r="N56" s="0" t="str">
        <f aca="false">IF(M56=1,SUM($M$2:M56),"")</f>
        <v/>
      </c>
      <c r="O56" s="26" t="n">
        <f aca="false">IF(OR($J56="Out of stock",$J56="Low stock",$J56="Not counted"),1,0)</f>
        <v>0</v>
      </c>
      <c r="P56" s="0" t="str">
        <f aca="false">IF(O56=1,SUM($O$2:O56),"")</f>
        <v/>
      </c>
    </row>
    <row r="57" customFormat="false" ht="15" hidden="false" customHeight="false" outlineLevel="0" collapsed="false">
      <c r="A57" s="10" t="s">
        <v>283</v>
      </c>
      <c r="B57" s="10" t="s">
        <v>284</v>
      </c>
      <c r="C57" s="10" t="s">
        <v>25</v>
      </c>
      <c r="D57" s="10"/>
      <c r="E57" s="19" t="s">
        <v>117</v>
      </c>
      <c r="F57" s="23" t="n">
        <v>4</v>
      </c>
      <c r="G57" s="11" t="n">
        <f aca="false">SUMIFS('Issue Log'!$G$2:$G$501,'Issue Log'!$B$2:$B$501,$A57,'Issue Log'!$J$2:$J$501,"Out")</f>
        <v>0</v>
      </c>
      <c r="H57" s="11" t="n">
        <f aca="false">IF($F57="","",$F57-$G57)</f>
        <v>4</v>
      </c>
      <c r="I57" s="23" t="n">
        <v>2</v>
      </c>
      <c r="J57" s="11" t="str">
        <f aca="false">IF($F57="","Not counted",IF($H57&lt;=0,"Out of stock",IF($H57&lt;$I57,"Low stock","In stock")))</f>
        <v>In stock</v>
      </c>
      <c r="K57" s="5" t="s">
        <v>175</v>
      </c>
      <c r="M57" s="26" t="n">
        <f aca="false">IF(Search!$C$4="",0,IF(ISNUMBER(SEARCH(Search!$C$4,$A57&amp;" "&amp;$B57&amp;" "&amp;$C57&amp;" "&amp;$E57)),1,0))</f>
        <v>0</v>
      </c>
      <c r="N57" s="0" t="str">
        <f aca="false">IF(M57=1,SUM($M$2:M57),"")</f>
        <v/>
      </c>
      <c r="O57" s="26" t="n">
        <f aca="false">IF(OR($J57="Out of stock",$J57="Low stock",$J57="Not counted"),1,0)</f>
        <v>0</v>
      </c>
      <c r="P57" s="0" t="str">
        <f aca="false">IF(O57=1,SUM($O$2:O57),"")</f>
        <v/>
      </c>
    </row>
    <row r="58" customFormat="false" ht="15" hidden="false" customHeight="false" outlineLevel="0" collapsed="false">
      <c r="A58" s="10" t="s">
        <v>285</v>
      </c>
      <c r="B58" s="10" t="s">
        <v>286</v>
      </c>
      <c r="C58" s="10" t="s">
        <v>25</v>
      </c>
      <c r="D58" s="10"/>
      <c r="E58" s="19" t="s">
        <v>117</v>
      </c>
      <c r="F58" s="23" t="n">
        <v>5</v>
      </c>
      <c r="G58" s="11" t="n">
        <f aca="false">SUMIFS('Issue Log'!$G$2:$G$501,'Issue Log'!$B$2:$B$501,$A58,'Issue Log'!$J$2:$J$501,"Out")</f>
        <v>0</v>
      </c>
      <c r="H58" s="11" t="n">
        <f aca="false">IF($F58="","",$F58-$G58)</f>
        <v>5</v>
      </c>
      <c r="I58" s="23" t="n">
        <v>2</v>
      </c>
      <c r="J58" s="11" t="str">
        <f aca="false">IF($F58="","Not counted",IF($H58&lt;=0,"Out of stock",IF($H58&lt;$I58,"Low stock","In stock")))</f>
        <v>In stock</v>
      </c>
      <c r="K58" s="5" t="s">
        <v>175</v>
      </c>
      <c r="M58" s="26" t="n">
        <f aca="false">IF(Search!$C$4="",0,IF(ISNUMBER(SEARCH(Search!$C$4,$A58&amp;" "&amp;$B58&amp;" "&amp;$C58&amp;" "&amp;$E58)),1,0))</f>
        <v>0</v>
      </c>
      <c r="N58" s="0" t="str">
        <f aca="false">IF(M58=1,SUM($M$2:M58),"")</f>
        <v/>
      </c>
      <c r="O58" s="26" t="n">
        <f aca="false">IF(OR($J58="Out of stock",$J58="Low stock",$J58="Not counted"),1,0)</f>
        <v>0</v>
      </c>
      <c r="P58" s="0" t="str">
        <f aca="false">IF(O58=1,SUM($O$2:O58),"")</f>
        <v/>
      </c>
    </row>
    <row r="59" customFormat="false" ht="15" hidden="false" customHeight="false" outlineLevel="0" collapsed="false">
      <c r="A59" s="10" t="s">
        <v>287</v>
      </c>
      <c r="B59" s="10" t="s">
        <v>288</v>
      </c>
      <c r="C59" s="10" t="s">
        <v>25</v>
      </c>
      <c r="D59" s="10"/>
      <c r="E59" s="19" t="s">
        <v>117</v>
      </c>
      <c r="F59" s="23" t="n">
        <v>5</v>
      </c>
      <c r="G59" s="11" t="n">
        <f aca="false">SUMIFS('Issue Log'!$G$2:$G$501,'Issue Log'!$B$2:$B$501,$A59,'Issue Log'!$J$2:$J$501,"Out")</f>
        <v>0</v>
      </c>
      <c r="H59" s="11" t="n">
        <f aca="false">IF($F59="","",$F59-$G59)</f>
        <v>5</v>
      </c>
      <c r="I59" s="23" t="n">
        <v>2</v>
      </c>
      <c r="J59" s="11" t="str">
        <f aca="false">IF($F59="","Not counted",IF($H59&lt;=0,"Out of stock",IF($H59&lt;$I59,"Low stock","In stock")))</f>
        <v>In stock</v>
      </c>
      <c r="K59" s="5" t="s">
        <v>175</v>
      </c>
      <c r="M59" s="26" t="n">
        <f aca="false">IF(Search!$C$4="",0,IF(ISNUMBER(SEARCH(Search!$C$4,$A59&amp;" "&amp;$B59&amp;" "&amp;$C59&amp;" "&amp;$E59)),1,0))</f>
        <v>0</v>
      </c>
      <c r="N59" s="0" t="str">
        <f aca="false">IF(M59=1,SUM($M$2:M59),"")</f>
        <v/>
      </c>
      <c r="O59" s="26" t="n">
        <f aca="false">IF(OR($J59="Out of stock",$J59="Low stock",$J59="Not counted"),1,0)</f>
        <v>0</v>
      </c>
      <c r="P59" s="0" t="str">
        <f aca="false">IF(O59=1,SUM($O$2:O59),"")</f>
        <v/>
      </c>
    </row>
    <row r="60" customFormat="false" ht="15" hidden="false" customHeight="false" outlineLevel="0" collapsed="false">
      <c r="A60" s="10" t="s">
        <v>289</v>
      </c>
      <c r="B60" s="10" t="s">
        <v>290</v>
      </c>
      <c r="C60" s="10" t="s">
        <v>51</v>
      </c>
      <c r="D60" s="10"/>
      <c r="E60" s="19" t="s">
        <v>117</v>
      </c>
      <c r="F60" s="23" t="n">
        <v>93</v>
      </c>
      <c r="G60" s="11" t="n">
        <f aca="false">SUMIFS('Issue Log'!$G$2:$G$501,'Issue Log'!$B$2:$B$501,$A60,'Issue Log'!$J$2:$J$501,"Out")</f>
        <v>0</v>
      </c>
      <c r="H60" s="11" t="n">
        <f aca="false">IF($F60="","",$F60-$G60)</f>
        <v>93</v>
      </c>
      <c r="I60" s="23" t="n">
        <v>5</v>
      </c>
      <c r="J60" s="11" t="str">
        <f aca="false">IF($F60="","Not counted",IF($H60&lt;=0,"Out of stock",IF($H60&lt;$I60,"Low stock","In stock")))</f>
        <v>In stock</v>
      </c>
      <c r="K60" s="5" t="s">
        <v>175</v>
      </c>
      <c r="M60" s="26" t="n">
        <f aca="false">IF(Search!$C$4="",0,IF(ISNUMBER(SEARCH(Search!$C$4,$A60&amp;" "&amp;$B60&amp;" "&amp;$C60&amp;" "&amp;$E60)),1,0))</f>
        <v>0</v>
      </c>
      <c r="N60" s="0" t="str">
        <f aca="false">IF(M60=1,SUM($M$2:M60),"")</f>
        <v/>
      </c>
      <c r="O60" s="26" t="n">
        <f aca="false">IF(OR($J60="Out of stock",$J60="Low stock",$J60="Not counted"),1,0)</f>
        <v>0</v>
      </c>
      <c r="P60" s="0" t="str">
        <f aca="false">IF(O60=1,SUM($O$2:O60),"")</f>
        <v/>
      </c>
    </row>
    <row r="61" customFormat="false" ht="15" hidden="false" customHeight="false" outlineLevel="0" collapsed="false">
      <c r="A61" s="10" t="s">
        <v>291</v>
      </c>
      <c r="B61" s="10" t="s">
        <v>292</v>
      </c>
      <c r="C61" s="10" t="s">
        <v>37</v>
      </c>
      <c r="D61" s="10"/>
      <c r="E61" s="19" t="s">
        <v>118</v>
      </c>
      <c r="F61" s="23" t="n">
        <v>17</v>
      </c>
      <c r="G61" s="11" t="n">
        <f aca="false">SUMIFS('Issue Log'!$G$2:$G$501,'Issue Log'!$B$2:$B$501,$A61,'Issue Log'!$J$2:$J$501,"Out")</f>
        <v>0</v>
      </c>
      <c r="H61" s="11" t="n">
        <f aca="false">IF($F61="","",$F61-$G61)</f>
        <v>17</v>
      </c>
      <c r="I61" s="23" t="n">
        <v>10</v>
      </c>
      <c r="J61" s="11" t="str">
        <f aca="false">IF($F61="","Not counted",IF($H61&lt;=0,"Out of stock",IF($H61&lt;$I61,"Low stock","In stock")))</f>
        <v>In stock</v>
      </c>
      <c r="K61" s="5" t="s">
        <v>175</v>
      </c>
      <c r="M61" s="26" t="n">
        <f aca="false">IF(Search!$C$4="",0,IF(ISNUMBER(SEARCH(Search!$C$4,$A61&amp;" "&amp;$B61&amp;" "&amp;$C61&amp;" "&amp;$E61)),1,0))</f>
        <v>0</v>
      </c>
      <c r="N61" s="0" t="str">
        <f aca="false">IF(M61=1,SUM($M$2:M61),"")</f>
        <v/>
      </c>
      <c r="O61" s="26" t="n">
        <f aca="false">IF(OR($J61="Out of stock",$J61="Low stock",$J61="Not counted"),1,0)</f>
        <v>0</v>
      </c>
      <c r="P61" s="0" t="str">
        <f aca="false">IF(O61=1,SUM($O$2:O61),"")</f>
        <v/>
      </c>
    </row>
    <row r="62" customFormat="false" ht="15" hidden="false" customHeight="false" outlineLevel="0" collapsed="false">
      <c r="A62" s="10" t="s">
        <v>293</v>
      </c>
      <c r="B62" s="10" t="s">
        <v>294</v>
      </c>
      <c r="C62" s="10" t="s">
        <v>37</v>
      </c>
      <c r="D62" s="10"/>
      <c r="E62" s="19" t="s">
        <v>118</v>
      </c>
      <c r="F62" s="23" t="n">
        <v>14</v>
      </c>
      <c r="G62" s="11" t="n">
        <f aca="false">SUMIFS('Issue Log'!$G$2:$G$501,'Issue Log'!$B$2:$B$501,$A62,'Issue Log'!$J$2:$J$501,"Out")</f>
        <v>0</v>
      </c>
      <c r="H62" s="11" t="n">
        <f aca="false">IF($F62="","",$F62-$G62)</f>
        <v>14</v>
      </c>
      <c r="I62" s="23" t="n">
        <v>10</v>
      </c>
      <c r="J62" s="11" t="str">
        <f aca="false">IF($F62="","Not counted",IF($H62&lt;=0,"Out of stock",IF($H62&lt;$I62,"Low stock","In stock")))</f>
        <v>In stock</v>
      </c>
      <c r="K62" s="5" t="s">
        <v>175</v>
      </c>
      <c r="M62" s="26" t="n">
        <f aca="false">IF(Search!$C$4="",0,IF(ISNUMBER(SEARCH(Search!$C$4,$A62&amp;" "&amp;$B62&amp;" "&amp;$C62&amp;" "&amp;$E62)),1,0))</f>
        <v>0</v>
      </c>
      <c r="N62" s="0" t="str">
        <f aca="false">IF(M62=1,SUM($M$2:M62),"")</f>
        <v/>
      </c>
      <c r="O62" s="26" t="n">
        <f aca="false">IF(OR($J62="Out of stock",$J62="Low stock",$J62="Not counted"),1,0)</f>
        <v>0</v>
      </c>
      <c r="P62" s="0" t="str">
        <f aca="false">IF(O62=1,SUM($O$2:O62),"")</f>
        <v/>
      </c>
    </row>
    <row r="63" customFormat="false" ht="15" hidden="false" customHeight="false" outlineLevel="0" collapsed="false">
      <c r="A63" s="10" t="s">
        <v>295</v>
      </c>
      <c r="B63" s="10" t="s">
        <v>296</v>
      </c>
      <c r="C63" s="10" t="s">
        <v>60</v>
      </c>
      <c r="D63" s="10"/>
      <c r="E63" s="19" t="s">
        <v>118</v>
      </c>
      <c r="F63" s="23" t="n">
        <v>2</v>
      </c>
      <c r="G63" s="11" t="n">
        <f aca="false">SUMIFS('Issue Log'!$G$2:$G$501,'Issue Log'!$B$2:$B$501,$A63,'Issue Log'!$J$2:$J$501,"Out")</f>
        <v>0</v>
      </c>
      <c r="H63" s="11" t="n">
        <f aca="false">IF($F63="","",$F63-$G63)</f>
        <v>2</v>
      </c>
      <c r="I63" s="23" t="n">
        <v>2</v>
      </c>
      <c r="J63" s="11" t="str">
        <f aca="false">IF($F63="","Not counted",IF($H63&lt;=0,"Out of stock",IF($H63&lt;$I63,"Low stock","In stock")))</f>
        <v>In stock</v>
      </c>
      <c r="K63" s="5" t="s">
        <v>175</v>
      </c>
      <c r="M63" s="26" t="n">
        <f aca="false">IF(Search!$C$4="",0,IF(ISNUMBER(SEARCH(Search!$C$4,$A63&amp;" "&amp;$B63&amp;" "&amp;$C63&amp;" "&amp;$E63)),1,0))</f>
        <v>0</v>
      </c>
      <c r="N63" s="0" t="str">
        <f aca="false">IF(M63=1,SUM($M$2:M63),"")</f>
        <v/>
      </c>
      <c r="O63" s="26" t="n">
        <f aca="false">IF(OR($J63="Out of stock",$J63="Low stock",$J63="Not counted"),1,0)</f>
        <v>0</v>
      </c>
      <c r="P63" s="0" t="str">
        <f aca="false">IF(O63=1,SUM($O$2:O63),"")</f>
        <v/>
      </c>
    </row>
    <row r="64" customFormat="false" ht="15" hidden="false" customHeight="false" outlineLevel="0" collapsed="false">
      <c r="A64" s="10" t="s">
        <v>297</v>
      </c>
      <c r="B64" s="10" t="s">
        <v>298</v>
      </c>
      <c r="C64" s="10" t="s">
        <v>69</v>
      </c>
      <c r="D64" s="10"/>
      <c r="E64" s="19" t="s">
        <v>119</v>
      </c>
      <c r="F64" s="23" t="n">
        <v>16</v>
      </c>
      <c r="G64" s="11" t="n">
        <f aca="false">SUMIFS('Issue Log'!$G$2:$G$501,'Issue Log'!$B$2:$B$501,$A64,'Issue Log'!$J$2:$J$501,"Out")</f>
        <v>0</v>
      </c>
      <c r="H64" s="11" t="n">
        <f aca="false">IF($F64="","",$F64-$G64)</f>
        <v>16</v>
      </c>
      <c r="I64" s="23" t="n">
        <v>2</v>
      </c>
      <c r="J64" s="11" t="str">
        <f aca="false">IF($F64="","Not counted",IF($H64&lt;=0,"Out of stock",IF($H64&lt;$I64,"Low stock","In stock")))</f>
        <v>In stock</v>
      </c>
      <c r="K64" s="5" t="s">
        <v>175</v>
      </c>
      <c r="M64" s="26" t="n">
        <f aca="false">IF(Search!$C$4="",0,IF(ISNUMBER(SEARCH(Search!$C$4,$A64&amp;" "&amp;$B64&amp;" "&amp;$C64&amp;" "&amp;$E64)),1,0))</f>
        <v>0</v>
      </c>
      <c r="N64" s="0" t="str">
        <f aca="false">IF(M64=1,SUM($M$2:M64),"")</f>
        <v/>
      </c>
      <c r="O64" s="26" t="n">
        <f aca="false">IF(OR($J64="Out of stock",$J64="Low stock",$J64="Not counted"),1,0)</f>
        <v>0</v>
      </c>
      <c r="P64" s="0" t="str">
        <f aca="false">IF(O64=1,SUM($O$2:O64),"")</f>
        <v/>
      </c>
    </row>
    <row r="65" customFormat="false" ht="15" hidden="false" customHeight="false" outlineLevel="0" collapsed="false">
      <c r="A65" s="10" t="s">
        <v>299</v>
      </c>
      <c r="B65" s="10" t="s">
        <v>300</v>
      </c>
      <c r="C65" s="10" t="s">
        <v>69</v>
      </c>
      <c r="D65" s="10"/>
      <c r="E65" s="19" t="s">
        <v>119</v>
      </c>
      <c r="F65" s="23" t="n">
        <v>11</v>
      </c>
      <c r="G65" s="11" t="n">
        <f aca="false">SUMIFS('Issue Log'!$G$2:$G$501,'Issue Log'!$B$2:$B$501,$A65,'Issue Log'!$J$2:$J$501,"Out")</f>
        <v>0</v>
      </c>
      <c r="H65" s="11" t="n">
        <f aca="false">IF($F65="","",$F65-$G65)</f>
        <v>11</v>
      </c>
      <c r="I65" s="23" t="n">
        <v>2</v>
      </c>
      <c r="J65" s="11" t="str">
        <f aca="false">IF($F65="","Not counted",IF($H65&lt;=0,"Out of stock",IF($H65&lt;$I65,"Low stock","In stock")))</f>
        <v>In stock</v>
      </c>
      <c r="K65" s="5" t="s">
        <v>175</v>
      </c>
      <c r="M65" s="26" t="n">
        <f aca="false">IF(Search!$C$4="",0,IF(ISNUMBER(SEARCH(Search!$C$4,$A65&amp;" "&amp;$B65&amp;" "&amp;$C65&amp;" "&amp;$E65)),1,0))</f>
        <v>0</v>
      </c>
      <c r="N65" s="0" t="str">
        <f aca="false">IF(M65=1,SUM($M$2:M65),"")</f>
        <v/>
      </c>
      <c r="O65" s="26" t="n">
        <f aca="false">IF(OR($J65="Out of stock",$J65="Low stock",$J65="Not counted"),1,0)</f>
        <v>0</v>
      </c>
      <c r="P65" s="0" t="str">
        <f aca="false">IF(O65=1,SUM($O$2:O65),"")</f>
        <v/>
      </c>
    </row>
    <row r="66" customFormat="false" ht="15" hidden="false" customHeight="false" outlineLevel="0" collapsed="false">
      <c r="A66" s="10" t="s">
        <v>301</v>
      </c>
      <c r="B66" s="10" t="s">
        <v>302</v>
      </c>
      <c r="C66" s="10" t="s">
        <v>69</v>
      </c>
      <c r="D66" s="10"/>
      <c r="E66" s="19" t="s">
        <v>119</v>
      </c>
      <c r="F66" s="23" t="n">
        <v>20</v>
      </c>
      <c r="G66" s="11" t="n">
        <f aca="false">SUMIFS('Issue Log'!$G$2:$G$501,'Issue Log'!$B$2:$B$501,$A66,'Issue Log'!$J$2:$J$501,"Out")</f>
        <v>0</v>
      </c>
      <c r="H66" s="11" t="n">
        <f aca="false">IF($F66="","",$F66-$G66)</f>
        <v>20</v>
      </c>
      <c r="I66" s="23" t="n">
        <v>2</v>
      </c>
      <c r="J66" s="11" t="str">
        <f aca="false">IF($F66="","Not counted",IF($H66&lt;=0,"Out of stock",IF($H66&lt;$I66,"Low stock","In stock")))</f>
        <v>In stock</v>
      </c>
      <c r="K66" s="5" t="s">
        <v>175</v>
      </c>
      <c r="M66" s="26" t="n">
        <f aca="false">IF(Search!$C$4="",0,IF(ISNUMBER(SEARCH(Search!$C$4,$A66&amp;" "&amp;$B66&amp;" "&amp;$C66&amp;" "&amp;$E66)),1,0))</f>
        <v>0</v>
      </c>
      <c r="N66" s="0" t="str">
        <f aca="false">IF(M66=1,SUM($M$2:M66),"")</f>
        <v/>
      </c>
      <c r="O66" s="26" t="n">
        <f aca="false">IF(OR($J66="Out of stock",$J66="Low stock",$J66="Not counted"),1,0)</f>
        <v>0</v>
      </c>
      <c r="P66" s="0" t="str">
        <f aca="false">IF(O66=1,SUM($O$2:O66),"")</f>
        <v/>
      </c>
    </row>
    <row r="67" customFormat="false" ht="15" hidden="false" customHeight="false" outlineLevel="0" collapsed="false">
      <c r="A67" s="10" t="s">
        <v>303</v>
      </c>
      <c r="B67" s="10" t="s">
        <v>304</v>
      </c>
      <c r="C67" s="10" t="s">
        <v>69</v>
      </c>
      <c r="D67" s="10"/>
      <c r="E67" s="19" t="s">
        <v>119</v>
      </c>
      <c r="F67" s="23" t="n">
        <v>9</v>
      </c>
      <c r="G67" s="11" t="n">
        <f aca="false">SUMIFS('Issue Log'!$G$2:$G$501,'Issue Log'!$B$2:$B$501,$A67,'Issue Log'!$J$2:$J$501,"Out")</f>
        <v>0</v>
      </c>
      <c r="H67" s="11" t="n">
        <f aca="false">IF($F67="","",$F67-$G67)</f>
        <v>9</v>
      </c>
      <c r="I67" s="23" t="n">
        <v>2</v>
      </c>
      <c r="J67" s="11" t="str">
        <f aca="false">IF($F67="","Not counted",IF($H67&lt;=0,"Out of stock",IF($H67&lt;$I67,"Low stock","In stock")))</f>
        <v>In stock</v>
      </c>
      <c r="K67" s="5" t="s">
        <v>175</v>
      </c>
      <c r="M67" s="26" t="n">
        <f aca="false">IF(Search!$C$4="",0,IF(ISNUMBER(SEARCH(Search!$C$4,$A67&amp;" "&amp;$B67&amp;" "&amp;$C67&amp;" "&amp;$E67)),1,0))</f>
        <v>0</v>
      </c>
      <c r="N67" s="0" t="str">
        <f aca="false">IF(M67=1,SUM($M$2:M67),"")</f>
        <v/>
      </c>
      <c r="O67" s="26" t="n">
        <f aca="false">IF(OR($J67="Out of stock",$J67="Low stock",$J67="Not counted"),1,0)</f>
        <v>0</v>
      </c>
      <c r="P67" s="0" t="str">
        <f aca="false">IF(O67=1,SUM($O$2:O67),"")</f>
        <v/>
      </c>
    </row>
    <row r="68" customFormat="false" ht="15" hidden="false" customHeight="false" outlineLevel="0" collapsed="false">
      <c r="A68" s="10" t="s">
        <v>305</v>
      </c>
      <c r="B68" s="10" t="s">
        <v>306</v>
      </c>
      <c r="C68" s="10" t="s">
        <v>72</v>
      </c>
      <c r="D68" s="10"/>
      <c r="E68" s="19" t="s">
        <v>119</v>
      </c>
      <c r="F68" s="23" t="n">
        <v>5</v>
      </c>
      <c r="G68" s="11" t="n">
        <f aca="false">SUMIFS('Issue Log'!$G$2:$G$501,'Issue Log'!$B$2:$B$501,$A68,'Issue Log'!$J$2:$J$501,"Out")</f>
        <v>0</v>
      </c>
      <c r="H68" s="11" t="n">
        <f aca="false">IF($F68="","",$F68-$G68)</f>
        <v>5</v>
      </c>
      <c r="I68" s="23" t="n">
        <v>4</v>
      </c>
      <c r="J68" s="11" t="str">
        <f aca="false">IF($F68="","Not counted",IF($H68&lt;=0,"Out of stock",IF($H68&lt;$I68,"Low stock","In stock")))</f>
        <v>In stock</v>
      </c>
      <c r="K68" s="5" t="s">
        <v>175</v>
      </c>
      <c r="M68" s="26" t="n">
        <f aca="false">IF(Search!$C$4="",0,IF(ISNUMBER(SEARCH(Search!$C$4,$A68&amp;" "&amp;$B68&amp;" "&amp;$C68&amp;" "&amp;$E68)),1,0))</f>
        <v>0</v>
      </c>
      <c r="N68" s="0" t="str">
        <f aca="false">IF(M68=1,SUM($M$2:M68),"")</f>
        <v/>
      </c>
      <c r="O68" s="26" t="n">
        <f aca="false">IF(OR($J68="Out of stock",$J68="Low stock",$J68="Not counted"),1,0)</f>
        <v>0</v>
      </c>
      <c r="P68" s="0" t="str">
        <f aca="false">IF(O68=1,SUM($O$2:O68),"")</f>
        <v/>
      </c>
    </row>
    <row r="69" customFormat="false" ht="15" hidden="false" customHeight="false" outlineLevel="0" collapsed="false">
      <c r="A69" s="10" t="s">
        <v>307</v>
      </c>
      <c r="B69" s="10" t="s">
        <v>308</v>
      </c>
      <c r="C69" s="10" t="s">
        <v>69</v>
      </c>
      <c r="D69" s="10"/>
      <c r="E69" s="19" t="s">
        <v>119</v>
      </c>
      <c r="F69" s="23" t="n">
        <v>10</v>
      </c>
      <c r="G69" s="11" t="n">
        <f aca="false">SUMIFS('Issue Log'!$G$2:$G$501,'Issue Log'!$B$2:$B$501,$A69,'Issue Log'!$J$2:$J$501,"Out")</f>
        <v>0</v>
      </c>
      <c r="H69" s="11" t="n">
        <f aca="false">IF($F69="","",$F69-$G69)</f>
        <v>10</v>
      </c>
      <c r="I69" s="23" t="n">
        <v>2</v>
      </c>
      <c r="J69" s="11" t="str">
        <f aca="false">IF($F69="","Not counted",IF($H69&lt;=0,"Out of stock",IF($H69&lt;$I69,"Low stock","In stock")))</f>
        <v>In stock</v>
      </c>
      <c r="K69" s="5" t="s">
        <v>175</v>
      </c>
      <c r="M69" s="26" t="n">
        <f aca="false">IF(Search!$C$4="",0,IF(ISNUMBER(SEARCH(Search!$C$4,$A69&amp;" "&amp;$B69&amp;" "&amp;$C69&amp;" "&amp;$E69)),1,0))</f>
        <v>0</v>
      </c>
      <c r="N69" s="0" t="str">
        <f aca="false">IF(M69=1,SUM($M$2:M69),"")</f>
        <v/>
      </c>
      <c r="O69" s="26" t="n">
        <f aca="false">IF(OR($J69="Out of stock",$J69="Low stock",$J69="Not counted"),1,0)</f>
        <v>0</v>
      </c>
      <c r="P69" s="0" t="str">
        <f aca="false">IF(O69=1,SUM($O$2:O69),"")</f>
        <v/>
      </c>
    </row>
    <row r="70" customFormat="false" ht="15" hidden="false" customHeight="false" outlineLevel="0" collapsed="false">
      <c r="A70" s="10" t="s">
        <v>309</v>
      </c>
      <c r="B70" s="10" t="s">
        <v>310</v>
      </c>
      <c r="C70" s="10" t="s">
        <v>69</v>
      </c>
      <c r="D70" s="10"/>
      <c r="E70" s="19" t="s">
        <v>119</v>
      </c>
      <c r="F70" s="23" t="n">
        <v>3</v>
      </c>
      <c r="G70" s="11" t="n">
        <f aca="false">SUMIFS('Issue Log'!$G$2:$G$501,'Issue Log'!$B$2:$B$501,$A70,'Issue Log'!$J$2:$J$501,"Out")</f>
        <v>0</v>
      </c>
      <c r="H70" s="11" t="n">
        <f aca="false">IF($F70="","",$F70-$G70)</f>
        <v>3</v>
      </c>
      <c r="I70" s="23" t="n">
        <v>2</v>
      </c>
      <c r="J70" s="11" t="str">
        <f aca="false">IF($F70="","Not counted",IF($H70&lt;=0,"Out of stock",IF($H70&lt;$I70,"Low stock","In stock")))</f>
        <v>In stock</v>
      </c>
      <c r="K70" s="5" t="s">
        <v>175</v>
      </c>
      <c r="M70" s="26" t="n">
        <f aca="false">IF(Search!$C$4="",0,IF(ISNUMBER(SEARCH(Search!$C$4,$A70&amp;" "&amp;$B70&amp;" "&amp;$C70&amp;" "&amp;$E70)),1,0))</f>
        <v>0</v>
      </c>
      <c r="N70" s="0" t="str">
        <f aca="false">IF(M70=1,SUM($M$2:M70),"")</f>
        <v/>
      </c>
      <c r="O70" s="26" t="n">
        <f aca="false">IF(OR($J70="Out of stock",$J70="Low stock",$J70="Not counted"),1,0)</f>
        <v>0</v>
      </c>
      <c r="P70" s="0" t="str">
        <f aca="false">IF(O70=1,SUM($O$2:O70),"")</f>
        <v/>
      </c>
    </row>
    <row r="71" customFormat="false" ht="15" hidden="false" customHeight="false" outlineLevel="0" collapsed="false">
      <c r="A71" s="10" t="s">
        <v>311</v>
      </c>
      <c r="B71" s="10" t="s">
        <v>312</v>
      </c>
      <c r="C71" s="10" t="s">
        <v>60</v>
      </c>
      <c r="D71" s="10"/>
      <c r="E71" s="19" t="s">
        <v>120</v>
      </c>
      <c r="F71" s="23" t="n">
        <v>5</v>
      </c>
      <c r="G71" s="11" t="n">
        <f aca="false">SUMIFS('Issue Log'!$G$2:$G$501,'Issue Log'!$B$2:$B$501,$A71,'Issue Log'!$J$2:$J$501,"Out")</f>
        <v>0</v>
      </c>
      <c r="H71" s="11" t="n">
        <f aca="false">IF($F71="","",$F71-$G71)</f>
        <v>5</v>
      </c>
      <c r="I71" s="23" t="n">
        <v>2</v>
      </c>
      <c r="J71" s="11" t="str">
        <f aca="false">IF($F71="","Not counted",IF($H71&lt;=0,"Out of stock",IF($H71&lt;$I71,"Low stock","In stock")))</f>
        <v>In stock</v>
      </c>
      <c r="K71" s="5" t="s">
        <v>175</v>
      </c>
      <c r="M71" s="26" t="n">
        <f aca="false">IF(Search!$C$4="",0,IF(ISNUMBER(SEARCH(Search!$C$4,$A71&amp;" "&amp;$B71&amp;" "&amp;$C71&amp;" "&amp;$E71)),1,0))</f>
        <v>0</v>
      </c>
      <c r="N71" s="0" t="str">
        <f aca="false">IF(M71=1,SUM($M$2:M71),"")</f>
        <v/>
      </c>
      <c r="O71" s="26" t="n">
        <f aca="false">IF(OR($J71="Out of stock",$J71="Low stock",$J71="Not counted"),1,0)</f>
        <v>0</v>
      </c>
      <c r="P71" s="0" t="str">
        <f aca="false">IF(O71=1,SUM($O$2:O71),"")</f>
        <v/>
      </c>
    </row>
    <row r="72" customFormat="false" ht="15" hidden="false" customHeight="false" outlineLevel="0" collapsed="false">
      <c r="A72" s="10" t="s">
        <v>313</v>
      </c>
      <c r="B72" s="10" t="s">
        <v>314</v>
      </c>
      <c r="C72" s="10" t="s">
        <v>72</v>
      </c>
      <c r="D72" s="10"/>
      <c r="E72" s="19" t="s">
        <v>120</v>
      </c>
      <c r="F72" s="23" t="n">
        <v>19</v>
      </c>
      <c r="G72" s="11" t="n">
        <f aca="false">SUMIFS('Issue Log'!$G$2:$G$501,'Issue Log'!$B$2:$B$501,$A72,'Issue Log'!$J$2:$J$501,"Out")</f>
        <v>0</v>
      </c>
      <c r="H72" s="11" t="n">
        <f aca="false">IF($F72="","",$F72-$G72)</f>
        <v>19</v>
      </c>
      <c r="I72" s="23" t="n">
        <v>4</v>
      </c>
      <c r="J72" s="11" t="str">
        <f aca="false">IF($F72="","Not counted",IF($H72&lt;=0,"Out of stock",IF($H72&lt;$I72,"Low stock","In stock")))</f>
        <v>In stock</v>
      </c>
      <c r="K72" s="5" t="s">
        <v>175</v>
      </c>
      <c r="M72" s="26" t="n">
        <f aca="false">IF(Search!$C$4="",0,IF(ISNUMBER(SEARCH(Search!$C$4,$A72&amp;" "&amp;$B72&amp;" "&amp;$C72&amp;" "&amp;$E72)),1,0))</f>
        <v>0</v>
      </c>
      <c r="N72" s="0" t="str">
        <f aca="false">IF(M72=1,SUM($M$2:M72),"")</f>
        <v/>
      </c>
      <c r="O72" s="26" t="n">
        <f aca="false">IF(OR($J72="Out of stock",$J72="Low stock",$J72="Not counted"),1,0)</f>
        <v>0</v>
      </c>
      <c r="P72" s="0" t="str">
        <f aca="false">IF(O72=1,SUM($O$2:O72),"")</f>
        <v/>
      </c>
    </row>
    <row r="73" customFormat="false" ht="15" hidden="false" customHeight="false" outlineLevel="0" collapsed="false">
      <c r="A73" s="10" t="s">
        <v>315</v>
      </c>
      <c r="B73" s="10" t="s">
        <v>316</v>
      </c>
      <c r="C73" s="10" t="s">
        <v>61</v>
      </c>
      <c r="D73" s="10"/>
      <c r="E73" s="19" t="s">
        <v>120</v>
      </c>
      <c r="F73" s="23" t="n">
        <v>3</v>
      </c>
      <c r="G73" s="11" t="n">
        <f aca="false">SUMIFS('Issue Log'!$G$2:$G$501,'Issue Log'!$B$2:$B$501,$A73,'Issue Log'!$J$2:$J$501,"Out")</f>
        <v>0</v>
      </c>
      <c r="H73" s="11" t="n">
        <f aca="false">IF($F73="","",$F73-$G73)</f>
        <v>3</v>
      </c>
      <c r="I73" s="23" t="n">
        <v>2</v>
      </c>
      <c r="J73" s="11" t="str">
        <f aca="false">IF($F73="","Not counted",IF($H73&lt;=0,"Out of stock",IF($H73&lt;$I73,"Low stock","In stock")))</f>
        <v>In stock</v>
      </c>
      <c r="K73" s="5" t="s">
        <v>175</v>
      </c>
      <c r="M73" s="26" t="n">
        <f aca="false">IF(Search!$C$4="",0,IF(ISNUMBER(SEARCH(Search!$C$4,$A73&amp;" "&amp;$B73&amp;" "&amp;$C73&amp;" "&amp;$E73)),1,0))</f>
        <v>0</v>
      </c>
      <c r="N73" s="0" t="str">
        <f aca="false">IF(M73=1,SUM($M$2:M73),"")</f>
        <v/>
      </c>
      <c r="O73" s="26" t="n">
        <f aca="false">IF(OR($J73="Out of stock",$J73="Low stock",$J73="Not counted"),1,0)</f>
        <v>0</v>
      </c>
      <c r="P73" s="0" t="str">
        <f aca="false">IF(O73=1,SUM($O$2:O73),"")</f>
        <v/>
      </c>
    </row>
    <row r="74" customFormat="false" ht="15" hidden="false" customHeight="false" outlineLevel="0" collapsed="false">
      <c r="A74" s="10" t="s">
        <v>317</v>
      </c>
      <c r="B74" s="10" t="s">
        <v>318</v>
      </c>
      <c r="C74" s="10" t="s">
        <v>72</v>
      </c>
      <c r="D74" s="10"/>
      <c r="E74" s="19" t="s">
        <v>120</v>
      </c>
      <c r="F74" s="23" t="n">
        <v>4</v>
      </c>
      <c r="G74" s="11" t="n">
        <f aca="false">SUMIFS('Issue Log'!$G$2:$G$501,'Issue Log'!$B$2:$B$501,$A74,'Issue Log'!$J$2:$J$501,"Out")</f>
        <v>0</v>
      </c>
      <c r="H74" s="11" t="n">
        <f aca="false">IF($F74="","",$F74-$G74)</f>
        <v>4</v>
      </c>
      <c r="I74" s="23" t="n">
        <v>4</v>
      </c>
      <c r="J74" s="11" t="str">
        <f aca="false">IF($F74="","Not counted",IF($H74&lt;=0,"Out of stock",IF($H74&lt;$I74,"Low stock","In stock")))</f>
        <v>In stock</v>
      </c>
      <c r="K74" s="5" t="s">
        <v>175</v>
      </c>
      <c r="M74" s="26" t="n">
        <f aca="false">IF(Search!$C$4="",0,IF(ISNUMBER(SEARCH(Search!$C$4,$A74&amp;" "&amp;$B74&amp;" "&amp;$C74&amp;" "&amp;$E74)),1,0))</f>
        <v>0</v>
      </c>
      <c r="N74" s="0" t="str">
        <f aca="false">IF(M74=1,SUM($M$2:M74),"")</f>
        <v/>
      </c>
      <c r="O74" s="26" t="n">
        <f aca="false">IF(OR($J74="Out of stock",$J74="Low stock",$J74="Not counted"),1,0)</f>
        <v>0</v>
      </c>
      <c r="P74" s="0" t="str">
        <f aca="false">IF(O74=1,SUM($O$2:O74),"")</f>
        <v/>
      </c>
    </row>
    <row r="75" customFormat="false" ht="15" hidden="false" customHeight="false" outlineLevel="0" collapsed="false">
      <c r="A75" s="10" t="s">
        <v>319</v>
      </c>
      <c r="B75" s="10" t="s">
        <v>320</v>
      </c>
      <c r="C75" s="10" t="s">
        <v>72</v>
      </c>
      <c r="D75" s="10"/>
      <c r="E75" s="19" t="s">
        <v>120</v>
      </c>
      <c r="F75" s="23" t="n">
        <v>18</v>
      </c>
      <c r="G75" s="11" t="n">
        <f aca="false">SUMIFS('Issue Log'!$G$2:$G$501,'Issue Log'!$B$2:$B$501,$A75,'Issue Log'!$J$2:$J$501,"Out")</f>
        <v>0</v>
      </c>
      <c r="H75" s="11" t="n">
        <f aca="false">IF($F75="","",$F75-$G75)</f>
        <v>18</v>
      </c>
      <c r="I75" s="23" t="n">
        <v>4</v>
      </c>
      <c r="J75" s="11" t="str">
        <f aca="false">IF($F75="","Not counted",IF($H75&lt;=0,"Out of stock",IF($H75&lt;$I75,"Low stock","In stock")))</f>
        <v>In stock</v>
      </c>
      <c r="K75" s="5" t="s">
        <v>175</v>
      </c>
      <c r="M75" s="26" t="n">
        <f aca="false">IF(Search!$C$4="",0,IF(ISNUMBER(SEARCH(Search!$C$4,$A75&amp;" "&amp;$B75&amp;" "&amp;$C75&amp;" "&amp;$E75)),1,0))</f>
        <v>0</v>
      </c>
      <c r="N75" s="0" t="str">
        <f aca="false">IF(M75=1,SUM($M$2:M75),"")</f>
        <v/>
      </c>
      <c r="O75" s="26" t="n">
        <f aca="false">IF(OR($J75="Out of stock",$J75="Low stock",$J75="Not counted"),1,0)</f>
        <v>0</v>
      </c>
      <c r="P75" s="0" t="str">
        <f aca="false">IF(O75=1,SUM($O$2:O75),"")</f>
        <v/>
      </c>
    </row>
    <row r="76" customFormat="false" ht="15" hidden="false" customHeight="false" outlineLevel="0" collapsed="false">
      <c r="A76" s="10" t="s">
        <v>321</v>
      </c>
      <c r="B76" s="10" t="s">
        <v>322</v>
      </c>
      <c r="C76" s="10" t="s">
        <v>60</v>
      </c>
      <c r="D76" s="10"/>
      <c r="E76" s="19" t="s">
        <v>121</v>
      </c>
      <c r="F76" s="23" t="n">
        <v>16</v>
      </c>
      <c r="G76" s="11" t="n">
        <f aca="false">SUMIFS('Issue Log'!$G$2:$G$501,'Issue Log'!$B$2:$B$501,$A76,'Issue Log'!$J$2:$J$501,"Out")</f>
        <v>0</v>
      </c>
      <c r="H76" s="11" t="n">
        <f aca="false">IF($F76="","",$F76-$G76)</f>
        <v>16</v>
      </c>
      <c r="I76" s="23" t="n">
        <v>2</v>
      </c>
      <c r="J76" s="11" t="str">
        <f aca="false">IF($F76="","Not counted",IF($H76&lt;=0,"Out of stock",IF($H76&lt;$I76,"Low stock","In stock")))</f>
        <v>In stock</v>
      </c>
      <c r="K76" s="5" t="s">
        <v>175</v>
      </c>
      <c r="M76" s="26" t="n">
        <f aca="false">IF(Search!$C$4="",0,IF(ISNUMBER(SEARCH(Search!$C$4,$A76&amp;" "&amp;$B76&amp;" "&amp;$C76&amp;" "&amp;$E76)),1,0))</f>
        <v>0</v>
      </c>
      <c r="N76" s="0" t="str">
        <f aca="false">IF(M76=1,SUM($M$2:M76),"")</f>
        <v/>
      </c>
      <c r="O76" s="26" t="n">
        <f aca="false">IF(OR($J76="Out of stock",$J76="Low stock",$J76="Not counted"),1,0)</f>
        <v>0</v>
      </c>
      <c r="P76" s="0" t="str">
        <f aca="false">IF(O76=1,SUM($O$2:O76),"")</f>
        <v/>
      </c>
    </row>
    <row r="77" customFormat="false" ht="15" hidden="false" customHeight="false" outlineLevel="0" collapsed="false">
      <c r="A77" s="10" t="s">
        <v>323</v>
      </c>
      <c r="B77" s="10" t="s">
        <v>324</v>
      </c>
      <c r="C77" s="10" t="s">
        <v>60</v>
      </c>
      <c r="D77" s="10"/>
      <c r="E77" s="19" t="s">
        <v>121</v>
      </c>
      <c r="F77" s="23" t="n">
        <v>3</v>
      </c>
      <c r="G77" s="11" t="n">
        <f aca="false">SUMIFS('Issue Log'!$G$2:$G$501,'Issue Log'!$B$2:$B$501,$A77,'Issue Log'!$J$2:$J$501,"Out")</f>
        <v>0</v>
      </c>
      <c r="H77" s="11" t="n">
        <f aca="false">IF($F77="","",$F77-$G77)</f>
        <v>3</v>
      </c>
      <c r="I77" s="23" t="n">
        <v>2</v>
      </c>
      <c r="J77" s="11" t="str">
        <f aca="false">IF($F77="","Not counted",IF($H77&lt;=0,"Out of stock",IF($H77&lt;$I77,"Low stock","In stock")))</f>
        <v>In stock</v>
      </c>
      <c r="K77" s="5" t="s">
        <v>175</v>
      </c>
      <c r="M77" s="26" t="n">
        <f aca="false">IF(Search!$C$4="",0,IF(ISNUMBER(SEARCH(Search!$C$4,$A77&amp;" "&amp;$B77&amp;" "&amp;$C77&amp;" "&amp;$E77)),1,0))</f>
        <v>0</v>
      </c>
      <c r="N77" s="0" t="str">
        <f aca="false">IF(M77=1,SUM($M$2:M77),"")</f>
        <v/>
      </c>
      <c r="O77" s="26" t="n">
        <f aca="false">IF(OR($J77="Out of stock",$J77="Low stock",$J77="Not counted"),1,0)</f>
        <v>0</v>
      </c>
      <c r="P77" s="0" t="str">
        <f aca="false">IF(O77=1,SUM($O$2:O77),"")</f>
        <v/>
      </c>
    </row>
    <row r="78" customFormat="false" ht="15" hidden="false" customHeight="false" outlineLevel="0" collapsed="false">
      <c r="A78" s="10" t="s">
        <v>325</v>
      </c>
      <c r="B78" s="10" t="s">
        <v>326</v>
      </c>
      <c r="C78" s="10" t="s">
        <v>62</v>
      </c>
      <c r="D78" s="10"/>
      <c r="E78" s="19" t="s">
        <v>122</v>
      </c>
      <c r="F78" s="23" t="n">
        <v>10</v>
      </c>
      <c r="G78" s="11" t="n">
        <f aca="false">SUMIFS('Issue Log'!$G$2:$G$501,'Issue Log'!$B$2:$B$501,$A78,'Issue Log'!$J$2:$J$501,"Out")</f>
        <v>0</v>
      </c>
      <c r="H78" s="11" t="n">
        <f aca="false">IF($F78="","",$F78-$G78)</f>
        <v>10</v>
      </c>
      <c r="I78" s="23" t="n">
        <v>5</v>
      </c>
      <c r="J78" s="11" t="str">
        <f aca="false">IF($F78="","Not counted",IF($H78&lt;=0,"Out of stock",IF($H78&lt;$I78,"Low stock","In stock")))</f>
        <v>In stock</v>
      </c>
      <c r="K78" s="5" t="s">
        <v>175</v>
      </c>
      <c r="M78" s="26" t="n">
        <f aca="false">IF(Search!$C$4="",0,IF(ISNUMBER(SEARCH(Search!$C$4,$A78&amp;" "&amp;$B78&amp;" "&amp;$C78&amp;" "&amp;$E78)),1,0))</f>
        <v>0</v>
      </c>
      <c r="N78" s="0" t="str">
        <f aca="false">IF(M78=1,SUM($M$2:M78),"")</f>
        <v/>
      </c>
      <c r="O78" s="26" t="n">
        <f aca="false">IF(OR($J78="Out of stock",$J78="Low stock",$J78="Not counted"),1,0)</f>
        <v>0</v>
      </c>
      <c r="P78" s="0" t="str">
        <f aca="false">IF(O78=1,SUM($O$2:O78),"")</f>
        <v/>
      </c>
    </row>
    <row r="79" customFormat="false" ht="15" hidden="false" customHeight="false" outlineLevel="0" collapsed="false">
      <c r="A79" s="10" t="s">
        <v>327</v>
      </c>
      <c r="B79" s="10" t="s">
        <v>328</v>
      </c>
      <c r="C79" s="10" t="s">
        <v>62</v>
      </c>
      <c r="D79" s="10"/>
      <c r="E79" s="19" t="s">
        <v>122</v>
      </c>
      <c r="F79" s="23" t="n">
        <v>36</v>
      </c>
      <c r="G79" s="11" t="n">
        <f aca="false">SUMIFS('Issue Log'!$G$2:$G$501,'Issue Log'!$B$2:$B$501,$A79,'Issue Log'!$J$2:$J$501,"Out")</f>
        <v>0</v>
      </c>
      <c r="H79" s="11" t="n">
        <f aca="false">IF($F79="","",$F79-$G79)</f>
        <v>36</v>
      </c>
      <c r="I79" s="23" t="n">
        <v>5</v>
      </c>
      <c r="J79" s="11" t="str">
        <f aca="false">IF($F79="","Not counted",IF($H79&lt;=0,"Out of stock",IF($H79&lt;$I79,"Low stock","In stock")))</f>
        <v>In stock</v>
      </c>
      <c r="K79" s="5" t="s">
        <v>175</v>
      </c>
      <c r="M79" s="26" t="n">
        <f aca="false">IF(Search!$C$4="",0,IF(ISNUMBER(SEARCH(Search!$C$4,$A79&amp;" "&amp;$B79&amp;" "&amp;$C79&amp;" "&amp;$E79)),1,0))</f>
        <v>0</v>
      </c>
      <c r="N79" s="0" t="str">
        <f aca="false">IF(M79=1,SUM($M$2:M79),"")</f>
        <v/>
      </c>
      <c r="O79" s="26" t="n">
        <f aca="false">IF(OR($J79="Out of stock",$J79="Low stock",$J79="Not counted"),1,0)</f>
        <v>0</v>
      </c>
      <c r="P79" s="0" t="str">
        <f aca="false">IF(O79=1,SUM($O$2:O79),"")</f>
        <v/>
      </c>
    </row>
    <row r="80" customFormat="false" ht="15" hidden="false" customHeight="false" outlineLevel="0" collapsed="false">
      <c r="A80" s="10" t="s">
        <v>329</v>
      </c>
      <c r="B80" s="10" t="s">
        <v>330</v>
      </c>
      <c r="C80" s="10" t="s">
        <v>62</v>
      </c>
      <c r="D80" s="10"/>
      <c r="E80" s="19" t="s">
        <v>122</v>
      </c>
      <c r="F80" s="23" t="n">
        <v>40</v>
      </c>
      <c r="G80" s="11" t="n">
        <f aca="false">SUMIFS('Issue Log'!$G$2:$G$501,'Issue Log'!$B$2:$B$501,$A80,'Issue Log'!$J$2:$J$501,"Out")</f>
        <v>0</v>
      </c>
      <c r="H80" s="11" t="n">
        <f aca="false">IF($F80="","",$F80-$G80)</f>
        <v>40</v>
      </c>
      <c r="I80" s="23" t="n">
        <v>5</v>
      </c>
      <c r="J80" s="11" t="str">
        <f aca="false">IF($F80="","Not counted",IF($H80&lt;=0,"Out of stock",IF($H80&lt;$I80,"Low stock","In stock")))</f>
        <v>In stock</v>
      </c>
      <c r="K80" s="5" t="s">
        <v>175</v>
      </c>
      <c r="M80" s="26" t="n">
        <f aca="false">IF(Search!$C$4="",0,IF(ISNUMBER(SEARCH(Search!$C$4,$A80&amp;" "&amp;$B80&amp;" "&amp;$C80&amp;" "&amp;$E80)),1,0))</f>
        <v>0</v>
      </c>
      <c r="N80" s="0" t="str">
        <f aca="false">IF(M80=1,SUM($M$2:M80),"")</f>
        <v/>
      </c>
      <c r="O80" s="26" t="n">
        <f aca="false">IF(OR($J80="Out of stock",$J80="Low stock",$J80="Not counted"),1,0)</f>
        <v>0</v>
      </c>
      <c r="P80" s="0" t="str">
        <f aca="false">IF(O80=1,SUM($O$2:O80),"")</f>
        <v/>
      </c>
    </row>
    <row r="81" customFormat="false" ht="15" hidden="false" customHeight="false" outlineLevel="0" collapsed="false">
      <c r="A81" s="10" t="s">
        <v>331</v>
      </c>
      <c r="B81" s="10" t="s">
        <v>332</v>
      </c>
      <c r="C81" s="10" t="s">
        <v>62</v>
      </c>
      <c r="D81" s="10"/>
      <c r="E81" s="19" t="s">
        <v>122</v>
      </c>
      <c r="F81" s="23" t="n">
        <v>102</v>
      </c>
      <c r="G81" s="11" t="n">
        <f aca="false">SUMIFS('Issue Log'!$G$2:$G$501,'Issue Log'!$B$2:$B$501,$A81,'Issue Log'!$J$2:$J$501,"Out")</f>
        <v>0</v>
      </c>
      <c r="H81" s="11" t="n">
        <f aca="false">IF($F81="","",$F81-$G81)</f>
        <v>102</v>
      </c>
      <c r="I81" s="23" t="n">
        <v>5</v>
      </c>
      <c r="J81" s="11" t="str">
        <f aca="false">IF($F81="","Not counted",IF($H81&lt;=0,"Out of stock",IF($H81&lt;$I81,"Low stock","In stock")))</f>
        <v>In stock</v>
      </c>
      <c r="K81" s="5" t="s">
        <v>175</v>
      </c>
      <c r="M81" s="26" t="n">
        <f aca="false">IF(Search!$C$4="",0,IF(ISNUMBER(SEARCH(Search!$C$4,$A81&amp;" "&amp;$B81&amp;" "&amp;$C81&amp;" "&amp;$E81)),1,0))</f>
        <v>0</v>
      </c>
      <c r="N81" s="0" t="str">
        <f aca="false">IF(M81=1,SUM($M$2:M81),"")</f>
        <v/>
      </c>
      <c r="O81" s="26" t="n">
        <f aca="false">IF(OR($J81="Out of stock",$J81="Low stock",$J81="Not counted"),1,0)</f>
        <v>0</v>
      </c>
      <c r="P81" s="0" t="str">
        <f aca="false">IF(O81=1,SUM($O$2:O81),"")</f>
        <v/>
      </c>
    </row>
    <row r="82" customFormat="false" ht="15" hidden="false" customHeight="false" outlineLevel="0" collapsed="false">
      <c r="A82" s="10" t="s">
        <v>333</v>
      </c>
      <c r="B82" s="10" t="s">
        <v>334</v>
      </c>
      <c r="C82" s="10" t="s">
        <v>62</v>
      </c>
      <c r="D82" s="10"/>
      <c r="E82" s="19" t="s">
        <v>122</v>
      </c>
      <c r="F82" s="23" t="n">
        <v>65</v>
      </c>
      <c r="G82" s="11" t="n">
        <f aca="false">SUMIFS('Issue Log'!$G$2:$G$501,'Issue Log'!$B$2:$B$501,$A82,'Issue Log'!$J$2:$J$501,"Out")</f>
        <v>0</v>
      </c>
      <c r="H82" s="11" t="n">
        <f aca="false">IF($F82="","",$F82-$G82)</f>
        <v>65</v>
      </c>
      <c r="I82" s="23" t="n">
        <v>5</v>
      </c>
      <c r="J82" s="11" t="str">
        <f aca="false">IF($F82="","Not counted",IF($H82&lt;=0,"Out of stock",IF($H82&lt;$I82,"Low stock","In stock")))</f>
        <v>In stock</v>
      </c>
      <c r="K82" s="5" t="s">
        <v>175</v>
      </c>
      <c r="M82" s="26" t="n">
        <f aca="false">IF(Search!$C$4="",0,IF(ISNUMBER(SEARCH(Search!$C$4,$A82&amp;" "&amp;$B82&amp;" "&amp;$C82&amp;" "&amp;$E82)),1,0))</f>
        <v>0</v>
      </c>
      <c r="N82" s="0" t="str">
        <f aca="false">IF(M82=1,SUM($M$2:M82),"")</f>
        <v/>
      </c>
      <c r="O82" s="26" t="n">
        <f aca="false">IF(OR($J82="Out of stock",$J82="Low stock",$J82="Not counted"),1,0)</f>
        <v>0</v>
      </c>
      <c r="P82" s="0" t="str">
        <f aca="false">IF(O82=1,SUM($O$2:O82),"")</f>
        <v/>
      </c>
    </row>
    <row r="83" customFormat="false" ht="15" hidden="false" customHeight="false" outlineLevel="0" collapsed="false">
      <c r="A83" s="10" t="s">
        <v>335</v>
      </c>
      <c r="B83" s="10" t="s">
        <v>336</v>
      </c>
      <c r="C83" s="10" t="s">
        <v>62</v>
      </c>
      <c r="D83" s="10"/>
      <c r="E83" s="19" t="s">
        <v>122</v>
      </c>
      <c r="F83" s="23" t="n">
        <v>2</v>
      </c>
      <c r="G83" s="11" t="n">
        <f aca="false">SUMIFS('Issue Log'!$G$2:$G$501,'Issue Log'!$B$2:$B$501,$A83,'Issue Log'!$J$2:$J$501,"Out")</f>
        <v>0</v>
      </c>
      <c r="H83" s="11" t="n">
        <f aca="false">IF($F83="","",$F83-$G83)</f>
        <v>2</v>
      </c>
      <c r="I83" s="23" t="n">
        <v>5</v>
      </c>
      <c r="J83" s="11" t="str">
        <f aca="false">IF($F83="","Not counted",IF($H83&lt;=0,"Out of stock",IF($H83&lt;$I83,"Low stock","In stock")))</f>
        <v>Low stock</v>
      </c>
      <c r="K83" s="5" t="s">
        <v>175</v>
      </c>
      <c r="M83" s="26" t="n">
        <f aca="false">IF(Search!$C$4="",0,IF(ISNUMBER(SEARCH(Search!$C$4,$A83&amp;" "&amp;$B83&amp;" "&amp;$C83&amp;" "&amp;$E83)),1,0))</f>
        <v>0</v>
      </c>
      <c r="N83" s="0" t="str">
        <f aca="false">IF(M83=1,SUM($M$2:M83),"")</f>
        <v/>
      </c>
      <c r="O83" s="26" t="n">
        <f aca="false">IF(OR($J83="Out of stock",$J83="Low stock",$J83="Not counted"),1,0)</f>
        <v>1</v>
      </c>
      <c r="P83" s="26" t="n">
        <f aca="false">IF(O83=1,SUM($O$2:O83),"")</f>
        <v>11</v>
      </c>
    </row>
    <row r="84" customFormat="false" ht="15" hidden="false" customHeight="false" outlineLevel="0" collapsed="false">
      <c r="A84" s="10" t="s">
        <v>337</v>
      </c>
      <c r="B84" s="10" t="s">
        <v>338</v>
      </c>
      <c r="C84" s="10" t="s">
        <v>64</v>
      </c>
      <c r="D84" s="10"/>
      <c r="E84" s="19" t="s">
        <v>123</v>
      </c>
      <c r="F84" s="23" t="n">
        <v>48</v>
      </c>
      <c r="G84" s="11" t="n">
        <f aca="false">SUMIFS('Issue Log'!$G$2:$G$501,'Issue Log'!$B$2:$B$501,$A84,'Issue Log'!$J$2:$J$501,"Out")</f>
        <v>0</v>
      </c>
      <c r="H84" s="11" t="n">
        <f aca="false">IF($F84="","",$F84-$G84)</f>
        <v>48</v>
      </c>
      <c r="I84" s="23" t="n">
        <v>4</v>
      </c>
      <c r="J84" s="11" t="str">
        <f aca="false">IF($F84="","Not counted",IF($H84&lt;=0,"Out of stock",IF($H84&lt;$I84,"Low stock","In stock")))</f>
        <v>In stock</v>
      </c>
      <c r="K84" s="5" t="s">
        <v>175</v>
      </c>
      <c r="M84" s="26" t="n">
        <f aca="false">IF(Search!$C$4="",0,IF(ISNUMBER(SEARCH(Search!$C$4,$A84&amp;" "&amp;$B84&amp;" "&amp;$C84&amp;" "&amp;$E84)),1,0))</f>
        <v>0</v>
      </c>
      <c r="N84" s="0" t="str">
        <f aca="false">IF(M84=1,SUM($M$2:M84),"")</f>
        <v/>
      </c>
      <c r="O84" s="26" t="n">
        <f aca="false">IF(OR($J84="Out of stock",$J84="Low stock",$J84="Not counted"),1,0)</f>
        <v>0</v>
      </c>
      <c r="P84" s="0" t="str">
        <f aca="false">IF(O84=1,SUM($O$2:O84),"")</f>
        <v/>
      </c>
    </row>
    <row r="85" customFormat="false" ht="15" hidden="false" customHeight="false" outlineLevel="0" collapsed="false">
      <c r="A85" s="10" t="s">
        <v>339</v>
      </c>
      <c r="B85" s="10" t="s">
        <v>340</v>
      </c>
      <c r="C85" s="10" t="s">
        <v>64</v>
      </c>
      <c r="D85" s="10"/>
      <c r="E85" s="19" t="s">
        <v>123</v>
      </c>
      <c r="F85" s="23" t="n">
        <v>36</v>
      </c>
      <c r="G85" s="11" t="n">
        <f aca="false">SUMIFS('Issue Log'!$G$2:$G$501,'Issue Log'!$B$2:$B$501,$A85,'Issue Log'!$J$2:$J$501,"Out")</f>
        <v>0</v>
      </c>
      <c r="H85" s="11" t="n">
        <f aca="false">IF($F85="","",$F85-$G85)</f>
        <v>36</v>
      </c>
      <c r="I85" s="23" t="n">
        <v>4</v>
      </c>
      <c r="J85" s="11" t="str">
        <f aca="false">IF($F85="","Not counted",IF($H85&lt;=0,"Out of stock",IF($H85&lt;$I85,"Low stock","In stock")))</f>
        <v>In stock</v>
      </c>
      <c r="K85" s="5" t="s">
        <v>175</v>
      </c>
      <c r="M85" s="26" t="n">
        <f aca="false">IF(Search!$C$4="",0,IF(ISNUMBER(SEARCH(Search!$C$4,$A85&amp;" "&amp;$B85&amp;" "&amp;$C85&amp;" "&amp;$E85)),1,0))</f>
        <v>0</v>
      </c>
      <c r="N85" s="0" t="str">
        <f aca="false">IF(M85=1,SUM($M$2:M85),"")</f>
        <v/>
      </c>
      <c r="O85" s="26" t="n">
        <f aca="false">IF(OR($J85="Out of stock",$J85="Low stock",$J85="Not counted"),1,0)</f>
        <v>0</v>
      </c>
      <c r="P85" s="0" t="str">
        <f aca="false">IF(O85=1,SUM($O$2:O85),"")</f>
        <v/>
      </c>
    </row>
    <row r="86" customFormat="false" ht="15" hidden="false" customHeight="false" outlineLevel="0" collapsed="false">
      <c r="A86" s="10" t="s">
        <v>341</v>
      </c>
      <c r="B86" s="10" t="s">
        <v>342</v>
      </c>
      <c r="C86" s="10" t="s">
        <v>64</v>
      </c>
      <c r="D86" s="10"/>
      <c r="E86" s="19" t="s">
        <v>123</v>
      </c>
      <c r="F86" s="23" t="n">
        <v>56</v>
      </c>
      <c r="G86" s="11" t="n">
        <f aca="false">SUMIFS('Issue Log'!$G$2:$G$501,'Issue Log'!$B$2:$B$501,$A86,'Issue Log'!$J$2:$J$501,"Out")</f>
        <v>0</v>
      </c>
      <c r="H86" s="11" t="n">
        <f aca="false">IF($F86="","",$F86-$G86)</f>
        <v>56</v>
      </c>
      <c r="I86" s="23" t="n">
        <v>4</v>
      </c>
      <c r="J86" s="11" t="str">
        <f aca="false">IF($F86="","Not counted",IF($H86&lt;=0,"Out of stock",IF($H86&lt;$I86,"Low stock","In stock")))</f>
        <v>In stock</v>
      </c>
      <c r="K86" s="5" t="s">
        <v>175</v>
      </c>
      <c r="M86" s="26" t="n">
        <f aca="false">IF(Search!$C$4="",0,IF(ISNUMBER(SEARCH(Search!$C$4,$A86&amp;" "&amp;$B86&amp;" "&amp;$C86&amp;" "&amp;$E86)),1,0))</f>
        <v>0</v>
      </c>
      <c r="N86" s="0" t="str">
        <f aca="false">IF(M86=1,SUM($M$2:M86),"")</f>
        <v/>
      </c>
      <c r="O86" s="26" t="n">
        <f aca="false">IF(OR($J86="Out of stock",$J86="Low stock",$J86="Not counted"),1,0)</f>
        <v>0</v>
      </c>
      <c r="P86" s="0" t="str">
        <f aca="false">IF(O86=1,SUM($O$2:O86),"")</f>
        <v/>
      </c>
    </row>
    <row r="87" customFormat="false" ht="15" hidden="false" customHeight="false" outlineLevel="0" collapsed="false">
      <c r="A87" s="10" t="s">
        <v>343</v>
      </c>
      <c r="B87" s="10" t="s">
        <v>344</v>
      </c>
      <c r="C87" s="10" t="s">
        <v>74</v>
      </c>
      <c r="D87" s="10"/>
      <c r="E87" s="19" t="s">
        <v>123</v>
      </c>
      <c r="F87" s="23" t="n">
        <v>7</v>
      </c>
      <c r="G87" s="11" t="n">
        <f aca="false">SUMIFS('Issue Log'!$G$2:$G$501,'Issue Log'!$B$2:$B$501,$A87,'Issue Log'!$J$2:$J$501,"Out")</f>
        <v>0</v>
      </c>
      <c r="H87" s="11" t="n">
        <f aca="false">IF($F87="","",$F87-$G87)</f>
        <v>7</v>
      </c>
      <c r="I87" s="23" t="n">
        <v>4</v>
      </c>
      <c r="J87" s="11" t="str">
        <f aca="false">IF($F87="","Not counted",IF($H87&lt;=0,"Out of stock",IF($H87&lt;$I87,"Low stock","In stock")))</f>
        <v>In stock</v>
      </c>
      <c r="K87" s="5" t="s">
        <v>175</v>
      </c>
      <c r="M87" s="26" t="n">
        <f aca="false">IF(Search!$C$4="",0,IF(ISNUMBER(SEARCH(Search!$C$4,$A87&amp;" "&amp;$B87&amp;" "&amp;$C87&amp;" "&amp;$E87)),1,0))</f>
        <v>0</v>
      </c>
      <c r="N87" s="0" t="str">
        <f aca="false">IF(M87=1,SUM($M$2:M87),"")</f>
        <v/>
      </c>
      <c r="O87" s="26" t="n">
        <f aca="false">IF(OR($J87="Out of stock",$J87="Low stock",$J87="Not counted"),1,0)</f>
        <v>0</v>
      </c>
      <c r="P87" s="0" t="str">
        <f aca="false">IF(O87=1,SUM($O$2:O87),"")</f>
        <v/>
      </c>
    </row>
    <row r="88" customFormat="false" ht="15" hidden="false" customHeight="false" outlineLevel="0" collapsed="false">
      <c r="A88" s="10" t="s">
        <v>345</v>
      </c>
      <c r="B88" s="10" t="s">
        <v>346</v>
      </c>
      <c r="C88" s="10" t="s">
        <v>54</v>
      </c>
      <c r="D88" s="10"/>
      <c r="E88" s="19" t="s">
        <v>124</v>
      </c>
      <c r="F88" s="23" t="n">
        <v>14</v>
      </c>
      <c r="G88" s="11" t="n">
        <f aca="false">SUMIFS('Issue Log'!$G$2:$G$501,'Issue Log'!$B$2:$B$501,$A88,'Issue Log'!$J$2:$J$501,"Out")</f>
        <v>0</v>
      </c>
      <c r="H88" s="11" t="n">
        <f aca="false">IF($F88="","",$F88-$G88)</f>
        <v>14</v>
      </c>
      <c r="I88" s="23" t="n">
        <v>5</v>
      </c>
      <c r="J88" s="11" t="str">
        <f aca="false">IF($F88="","Not counted",IF($H88&lt;=0,"Out of stock",IF($H88&lt;$I88,"Low stock","In stock")))</f>
        <v>In stock</v>
      </c>
      <c r="K88" s="5" t="s">
        <v>175</v>
      </c>
      <c r="M88" s="26" t="n">
        <f aca="false">IF(Search!$C$4="",0,IF(ISNUMBER(SEARCH(Search!$C$4,$A88&amp;" "&amp;$B88&amp;" "&amp;$C88&amp;" "&amp;$E88)),1,0))</f>
        <v>0</v>
      </c>
      <c r="N88" s="0" t="str">
        <f aca="false">IF(M88=1,SUM($M$2:M88),"")</f>
        <v/>
      </c>
      <c r="O88" s="26" t="n">
        <f aca="false">IF(OR($J88="Out of stock",$J88="Low stock",$J88="Not counted"),1,0)</f>
        <v>0</v>
      </c>
      <c r="P88" s="0" t="str">
        <f aca="false">IF(O88=1,SUM($O$2:O88),"")</f>
        <v/>
      </c>
    </row>
    <row r="89" customFormat="false" ht="15" hidden="false" customHeight="false" outlineLevel="0" collapsed="false">
      <c r="A89" s="10" t="s">
        <v>347</v>
      </c>
      <c r="B89" s="10" t="s">
        <v>348</v>
      </c>
      <c r="C89" s="10" t="s">
        <v>54</v>
      </c>
      <c r="D89" s="10"/>
      <c r="E89" s="19" t="s">
        <v>124</v>
      </c>
      <c r="F89" s="23" t="n">
        <v>14</v>
      </c>
      <c r="G89" s="11" t="n">
        <f aca="false">SUMIFS('Issue Log'!$G$2:$G$501,'Issue Log'!$B$2:$B$501,$A89,'Issue Log'!$J$2:$J$501,"Out")</f>
        <v>0</v>
      </c>
      <c r="H89" s="11" t="n">
        <f aca="false">IF($F89="","",$F89-$G89)</f>
        <v>14</v>
      </c>
      <c r="I89" s="23" t="n">
        <v>5</v>
      </c>
      <c r="J89" s="11" t="str">
        <f aca="false">IF($F89="","Not counted",IF($H89&lt;=0,"Out of stock",IF($H89&lt;$I89,"Low stock","In stock")))</f>
        <v>In stock</v>
      </c>
      <c r="K89" s="5" t="s">
        <v>175</v>
      </c>
      <c r="M89" s="26" t="n">
        <f aca="false">IF(Search!$C$4="",0,IF(ISNUMBER(SEARCH(Search!$C$4,$A89&amp;" "&amp;$B89&amp;" "&amp;$C89&amp;" "&amp;$E89)),1,0))</f>
        <v>0</v>
      </c>
      <c r="N89" s="0" t="str">
        <f aca="false">IF(M89=1,SUM($M$2:M89),"")</f>
        <v/>
      </c>
      <c r="O89" s="26" t="n">
        <f aca="false">IF(OR($J89="Out of stock",$J89="Low stock",$J89="Not counted"),1,0)</f>
        <v>0</v>
      </c>
      <c r="P89" s="0" t="str">
        <f aca="false">IF(O89=1,SUM($O$2:O89),"")</f>
        <v/>
      </c>
    </row>
    <row r="90" customFormat="false" ht="15" hidden="false" customHeight="false" outlineLevel="0" collapsed="false">
      <c r="A90" s="10" t="s">
        <v>349</v>
      </c>
      <c r="B90" s="10" t="s">
        <v>350</v>
      </c>
      <c r="C90" s="10" t="s">
        <v>54</v>
      </c>
      <c r="D90" s="10"/>
      <c r="E90" s="19" t="s">
        <v>124</v>
      </c>
      <c r="F90" s="23" t="n">
        <v>2</v>
      </c>
      <c r="G90" s="11" t="n">
        <f aca="false">SUMIFS('Issue Log'!$G$2:$G$501,'Issue Log'!$B$2:$B$501,$A90,'Issue Log'!$J$2:$J$501,"Out")</f>
        <v>0</v>
      </c>
      <c r="H90" s="11" t="n">
        <f aca="false">IF($F90="","",$F90-$G90)</f>
        <v>2</v>
      </c>
      <c r="I90" s="23" t="n">
        <v>5</v>
      </c>
      <c r="J90" s="11" t="str">
        <f aca="false">IF($F90="","Not counted",IF($H90&lt;=0,"Out of stock",IF($H90&lt;$I90,"Low stock","In stock")))</f>
        <v>Low stock</v>
      </c>
      <c r="K90" s="5" t="s">
        <v>175</v>
      </c>
      <c r="M90" s="26" t="n">
        <f aca="false">IF(Search!$C$4="",0,IF(ISNUMBER(SEARCH(Search!$C$4,$A90&amp;" "&amp;$B90&amp;" "&amp;$C90&amp;" "&amp;$E90)),1,0))</f>
        <v>0</v>
      </c>
      <c r="N90" s="0" t="str">
        <f aca="false">IF(M90=1,SUM($M$2:M90),"")</f>
        <v/>
      </c>
      <c r="O90" s="26" t="n">
        <f aca="false">IF(OR($J90="Out of stock",$J90="Low stock",$J90="Not counted"),1,0)</f>
        <v>1</v>
      </c>
      <c r="P90" s="26" t="n">
        <f aca="false">IF(O90=1,SUM($O$2:O90),"")</f>
        <v>12</v>
      </c>
    </row>
    <row r="91" customFormat="false" ht="15" hidden="false" customHeight="false" outlineLevel="0" collapsed="false">
      <c r="A91" s="10" t="s">
        <v>351</v>
      </c>
      <c r="B91" s="10" t="s">
        <v>352</v>
      </c>
      <c r="C91" s="10" t="s">
        <v>54</v>
      </c>
      <c r="D91" s="10"/>
      <c r="E91" s="19" t="s">
        <v>124</v>
      </c>
      <c r="F91" s="23" t="n">
        <v>15</v>
      </c>
      <c r="G91" s="11" t="n">
        <f aca="false">SUMIFS('Issue Log'!$G$2:$G$501,'Issue Log'!$B$2:$B$501,$A91,'Issue Log'!$J$2:$J$501,"Out")</f>
        <v>0</v>
      </c>
      <c r="H91" s="11" t="n">
        <f aca="false">IF($F91="","",$F91-$G91)</f>
        <v>15</v>
      </c>
      <c r="I91" s="23" t="n">
        <v>5</v>
      </c>
      <c r="J91" s="11" t="str">
        <f aca="false">IF($F91="","Not counted",IF($H91&lt;=0,"Out of stock",IF($H91&lt;$I91,"Low stock","In stock")))</f>
        <v>In stock</v>
      </c>
      <c r="K91" s="5" t="s">
        <v>175</v>
      </c>
      <c r="M91" s="26" t="n">
        <f aca="false">IF(Search!$C$4="",0,IF(ISNUMBER(SEARCH(Search!$C$4,$A91&amp;" "&amp;$B91&amp;" "&amp;$C91&amp;" "&amp;$E91)),1,0))</f>
        <v>0</v>
      </c>
      <c r="N91" s="0" t="str">
        <f aca="false">IF(M91=1,SUM($M$2:M91),"")</f>
        <v/>
      </c>
      <c r="O91" s="26" t="n">
        <f aca="false">IF(OR($J91="Out of stock",$J91="Low stock",$J91="Not counted"),1,0)</f>
        <v>0</v>
      </c>
      <c r="P91" s="0" t="str">
        <f aca="false">IF(O91=1,SUM($O$2:O91),"")</f>
        <v/>
      </c>
    </row>
    <row r="92" customFormat="false" ht="15" hidden="false" customHeight="false" outlineLevel="0" collapsed="false">
      <c r="A92" s="10" t="s">
        <v>353</v>
      </c>
      <c r="B92" s="10" t="s">
        <v>354</v>
      </c>
      <c r="C92" s="10" t="s">
        <v>54</v>
      </c>
      <c r="D92" s="10"/>
      <c r="E92" s="19" t="s">
        <v>124</v>
      </c>
      <c r="F92" s="23" t="n">
        <v>30</v>
      </c>
      <c r="G92" s="11" t="n">
        <f aca="false">SUMIFS('Issue Log'!$G$2:$G$501,'Issue Log'!$B$2:$B$501,$A92,'Issue Log'!$J$2:$J$501,"Out")</f>
        <v>0</v>
      </c>
      <c r="H92" s="11" t="n">
        <f aca="false">IF($F92="","",$F92-$G92)</f>
        <v>30</v>
      </c>
      <c r="I92" s="23" t="n">
        <v>5</v>
      </c>
      <c r="J92" s="11" t="str">
        <f aca="false">IF($F92="","Not counted",IF($H92&lt;=0,"Out of stock",IF($H92&lt;$I92,"Low stock","In stock")))</f>
        <v>In stock</v>
      </c>
      <c r="K92" s="5" t="s">
        <v>175</v>
      </c>
      <c r="M92" s="26" t="n">
        <f aca="false">IF(Search!$C$4="",0,IF(ISNUMBER(SEARCH(Search!$C$4,$A92&amp;" "&amp;$B92&amp;" "&amp;$C92&amp;" "&amp;$E92)),1,0))</f>
        <v>0</v>
      </c>
      <c r="N92" s="0" t="str">
        <f aca="false">IF(M92=1,SUM($M$2:M92),"")</f>
        <v/>
      </c>
      <c r="O92" s="26" t="n">
        <f aca="false">IF(OR($J92="Out of stock",$J92="Low stock",$J92="Not counted"),1,0)</f>
        <v>0</v>
      </c>
      <c r="P92" s="0" t="str">
        <f aca="false">IF(O92=1,SUM($O$2:O92),"")</f>
        <v/>
      </c>
    </row>
    <row r="93" customFormat="false" ht="15" hidden="false" customHeight="false" outlineLevel="0" collapsed="false">
      <c r="A93" s="10" t="s">
        <v>355</v>
      </c>
      <c r="B93" s="10" t="s">
        <v>356</v>
      </c>
      <c r="C93" s="10" t="s">
        <v>54</v>
      </c>
      <c r="D93" s="10"/>
      <c r="E93" s="19" t="s">
        <v>124</v>
      </c>
      <c r="F93" s="23" t="n">
        <v>1</v>
      </c>
      <c r="G93" s="11" t="n">
        <f aca="false">SUMIFS('Issue Log'!$G$2:$G$501,'Issue Log'!$B$2:$B$501,$A93,'Issue Log'!$J$2:$J$501,"Out")</f>
        <v>0</v>
      </c>
      <c r="H93" s="11" t="n">
        <f aca="false">IF($F93="","",$F93-$G93)</f>
        <v>1</v>
      </c>
      <c r="I93" s="23" t="n">
        <v>5</v>
      </c>
      <c r="J93" s="11" t="str">
        <f aca="false">IF($F93="","Not counted",IF($H93&lt;=0,"Out of stock",IF($H93&lt;$I93,"Low stock","In stock")))</f>
        <v>Low stock</v>
      </c>
      <c r="K93" s="5" t="s">
        <v>175</v>
      </c>
      <c r="M93" s="26" t="n">
        <f aca="false">IF(Search!$C$4="",0,IF(ISNUMBER(SEARCH(Search!$C$4,$A93&amp;" "&amp;$B93&amp;" "&amp;$C93&amp;" "&amp;$E93)),1,0))</f>
        <v>0</v>
      </c>
      <c r="N93" s="0" t="str">
        <f aca="false">IF(M93=1,SUM($M$2:M93),"")</f>
        <v/>
      </c>
      <c r="O93" s="26" t="n">
        <f aca="false">IF(OR($J93="Out of stock",$J93="Low stock",$J93="Not counted"),1,0)</f>
        <v>1</v>
      </c>
      <c r="P93" s="26" t="n">
        <f aca="false">IF(O93=1,SUM($O$2:O93),"")</f>
        <v>13</v>
      </c>
    </row>
    <row r="94" customFormat="false" ht="15" hidden="false" customHeight="false" outlineLevel="0" collapsed="false">
      <c r="A94" s="10" t="s">
        <v>357</v>
      </c>
      <c r="B94" s="10" t="s">
        <v>358</v>
      </c>
      <c r="C94" s="10" t="s">
        <v>54</v>
      </c>
      <c r="D94" s="10"/>
      <c r="E94" s="19" t="s">
        <v>124</v>
      </c>
      <c r="F94" s="23" t="n">
        <v>93</v>
      </c>
      <c r="G94" s="11" t="n">
        <f aca="false">SUMIFS('Issue Log'!$G$2:$G$501,'Issue Log'!$B$2:$B$501,$A94,'Issue Log'!$J$2:$J$501,"Out")</f>
        <v>0</v>
      </c>
      <c r="H94" s="11" t="n">
        <f aca="false">IF($F94="","",$F94-$G94)</f>
        <v>93</v>
      </c>
      <c r="I94" s="23" t="n">
        <v>5</v>
      </c>
      <c r="J94" s="11" t="str">
        <f aca="false">IF($F94="","Not counted",IF($H94&lt;=0,"Out of stock",IF($H94&lt;$I94,"Low stock","In stock")))</f>
        <v>In stock</v>
      </c>
      <c r="K94" s="5" t="s">
        <v>175</v>
      </c>
      <c r="M94" s="26" t="n">
        <f aca="false">IF(Search!$C$4="",0,IF(ISNUMBER(SEARCH(Search!$C$4,$A94&amp;" "&amp;$B94&amp;" "&amp;$C94&amp;" "&amp;$E94)),1,0))</f>
        <v>0</v>
      </c>
      <c r="N94" s="0" t="str">
        <f aca="false">IF(M94=1,SUM($M$2:M94),"")</f>
        <v/>
      </c>
      <c r="O94" s="26" t="n">
        <f aca="false">IF(OR($J94="Out of stock",$J94="Low stock",$J94="Not counted"),1,0)</f>
        <v>0</v>
      </c>
      <c r="P94" s="0" t="str">
        <f aca="false">IF(O94=1,SUM($O$2:O94),"")</f>
        <v/>
      </c>
    </row>
    <row r="95" customFormat="false" ht="15" hidden="false" customHeight="false" outlineLevel="0" collapsed="false">
      <c r="A95" s="10" t="s">
        <v>359</v>
      </c>
      <c r="B95" s="10" t="s">
        <v>360</v>
      </c>
      <c r="C95" s="10" t="s">
        <v>40</v>
      </c>
      <c r="D95" s="10"/>
      <c r="E95" s="19" t="s">
        <v>125</v>
      </c>
      <c r="F95" s="23" t="n">
        <v>7</v>
      </c>
      <c r="G95" s="11" t="n">
        <f aca="false">SUMIFS('Issue Log'!$G$2:$G$501,'Issue Log'!$B$2:$B$501,$A95,'Issue Log'!$J$2:$J$501,"Out")</f>
        <v>0</v>
      </c>
      <c r="H95" s="11" t="n">
        <f aca="false">IF($F95="","",$F95-$G95)</f>
        <v>7</v>
      </c>
      <c r="I95" s="23" t="n">
        <v>4</v>
      </c>
      <c r="J95" s="11" t="str">
        <f aca="false">IF($F95="","Not counted",IF($H95&lt;=0,"Out of stock",IF($H95&lt;$I95,"Low stock","In stock")))</f>
        <v>In stock</v>
      </c>
      <c r="K95" s="5" t="s">
        <v>175</v>
      </c>
      <c r="M95" s="26" t="n">
        <f aca="false">IF(Search!$C$4="",0,IF(ISNUMBER(SEARCH(Search!$C$4,$A95&amp;" "&amp;$B95&amp;" "&amp;$C95&amp;" "&amp;$E95)),1,0))</f>
        <v>0</v>
      </c>
      <c r="N95" s="0" t="str">
        <f aca="false">IF(M95=1,SUM($M$2:M95),"")</f>
        <v/>
      </c>
      <c r="O95" s="26" t="n">
        <f aca="false">IF(OR($J95="Out of stock",$J95="Low stock",$J95="Not counted"),1,0)</f>
        <v>0</v>
      </c>
      <c r="P95" s="0" t="str">
        <f aca="false">IF(O95=1,SUM($O$2:O95),"")</f>
        <v/>
      </c>
    </row>
    <row r="96" customFormat="false" ht="15" hidden="false" customHeight="false" outlineLevel="0" collapsed="false">
      <c r="A96" s="10" t="s">
        <v>361</v>
      </c>
      <c r="B96" s="10" t="s">
        <v>362</v>
      </c>
      <c r="C96" s="10" t="s">
        <v>40</v>
      </c>
      <c r="D96" s="10"/>
      <c r="E96" s="19" t="s">
        <v>125</v>
      </c>
      <c r="F96" s="23" t="n">
        <v>9</v>
      </c>
      <c r="G96" s="11" t="n">
        <f aca="false">SUMIFS('Issue Log'!$G$2:$G$501,'Issue Log'!$B$2:$B$501,$A96,'Issue Log'!$J$2:$J$501,"Out")</f>
        <v>0</v>
      </c>
      <c r="H96" s="11" t="n">
        <f aca="false">IF($F96="","",$F96-$G96)</f>
        <v>9</v>
      </c>
      <c r="I96" s="23" t="n">
        <v>4</v>
      </c>
      <c r="J96" s="11" t="str">
        <f aca="false">IF($F96="","Not counted",IF($H96&lt;=0,"Out of stock",IF($H96&lt;$I96,"Low stock","In stock")))</f>
        <v>In stock</v>
      </c>
      <c r="K96" s="5" t="s">
        <v>175</v>
      </c>
      <c r="M96" s="26" t="n">
        <f aca="false">IF(Search!$C$4="",0,IF(ISNUMBER(SEARCH(Search!$C$4,$A96&amp;" "&amp;$B96&amp;" "&amp;$C96&amp;" "&amp;$E96)),1,0))</f>
        <v>0</v>
      </c>
      <c r="N96" s="0" t="str">
        <f aca="false">IF(M96=1,SUM($M$2:M96),"")</f>
        <v/>
      </c>
      <c r="O96" s="26" t="n">
        <f aca="false">IF(OR($J96="Out of stock",$J96="Low stock",$J96="Not counted"),1,0)</f>
        <v>0</v>
      </c>
      <c r="P96" s="0" t="str">
        <f aca="false">IF(O96=1,SUM($O$2:O96),"")</f>
        <v/>
      </c>
    </row>
    <row r="97" customFormat="false" ht="15" hidden="false" customHeight="false" outlineLevel="0" collapsed="false">
      <c r="A97" s="10" t="s">
        <v>363</v>
      </c>
      <c r="B97" s="10" t="s">
        <v>364</v>
      </c>
      <c r="C97" s="10" t="s">
        <v>69</v>
      </c>
      <c r="D97" s="10"/>
      <c r="E97" s="19" t="s">
        <v>125</v>
      </c>
      <c r="F97" s="23" t="n">
        <v>5</v>
      </c>
      <c r="G97" s="11" t="n">
        <f aca="false">SUMIFS('Issue Log'!$G$2:$G$501,'Issue Log'!$B$2:$B$501,$A97,'Issue Log'!$J$2:$J$501,"Out")</f>
        <v>0</v>
      </c>
      <c r="H97" s="11" t="n">
        <f aca="false">IF($F97="","",$F97-$G97)</f>
        <v>5</v>
      </c>
      <c r="I97" s="23" t="n">
        <v>2</v>
      </c>
      <c r="J97" s="11" t="str">
        <f aca="false">IF($F97="","Not counted",IF($H97&lt;=0,"Out of stock",IF($H97&lt;$I97,"Low stock","In stock")))</f>
        <v>In stock</v>
      </c>
      <c r="K97" s="5" t="s">
        <v>175</v>
      </c>
      <c r="M97" s="26" t="n">
        <f aca="false">IF(Search!$C$4="",0,IF(ISNUMBER(SEARCH(Search!$C$4,$A97&amp;" "&amp;$B97&amp;" "&amp;$C97&amp;" "&amp;$E97)),1,0))</f>
        <v>0</v>
      </c>
      <c r="N97" s="0" t="str">
        <f aca="false">IF(M97=1,SUM($M$2:M97),"")</f>
        <v/>
      </c>
      <c r="O97" s="26" t="n">
        <f aca="false">IF(OR($J97="Out of stock",$J97="Low stock",$J97="Not counted"),1,0)</f>
        <v>0</v>
      </c>
      <c r="P97" s="0" t="str">
        <f aca="false">IF(O97=1,SUM($O$2:O97),"")</f>
        <v/>
      </c>
    </row>
    <row r="98" customFormat="false" ht="15" hidden="false" customHeight="false" outlineLevel="0" collapsed="false">
      <c r="A98" s="10" t="s">
        <v>365</v>
      </c>
      <c r="B98" s="10" t="s">
        <v>366</v>
      </c>
      <c r="C98" s="10" t="s">
        <v>69</v>
      </c>
      <c r="D98" s="10"/>
      <c r="E98" s="19" t="s">
        <v>125</v>
      </c>
      <c r="F98" s="23" t="n">
        <v>23</v>
      </c>
      <c r="G98" s="11" t="n">
        <f aca="false">SUMIFS('Issue Log'!$G$2:$G$501,'Issue Log'!$B$2:$B$501,$A98,'Issue Log'!$J$2:$J$501,"Out")</f>
        <v>0</v>
      </c>
      <c r="H98" s="11" t="n">
        <f aca="false">IF($F98="","",$F98-$G98)</f>
        <v>23</v>
      </c>
      <c r="I98" s="23" t="n">
        <v>2</v>
      </c>
      <c r="J98" s="11" t="str">
        <f aca="false">IF($F98="","Not counted",IF($H98&lt;=0,"Out of stock",IF($H98&lt;$I98,"Low stock","In stock")))</f>
        <v>In stock</v>
      </c>
      <c r="K98" s="5" t="s">
        <v>175</v>
      </c>
      <c r="M98" s="26" t="n">
        <f aca="false">IF(Search!$C$4="",0,IF(ISNUMBER(SEARCH(Search!$C$4,$A98&amp;" "&amp;$B98&amp;" "&amp;$C98&amp;" "&amp;$E98)),1,0))</f>
        <v>0</v>
      </c>
      <c r="N98" s="0" t="str">
        <f aca="false">IF(M98=1,SUM($M$2:M98),"")</f>
        <v/>
      </c>
      <c r="O98" s="26" t="n">
        <f aca="false">IF(OR($J98="Out of stock",$J98="Low stock",$J98="Not counted"),1,0)</f>
        <v>0</v>
      </c>
      <c r="P98" s="0" t="str">
        <f aca="false">IF(O98=1,SUM($O$2:O98),"")</f>
        <v/>
      </c>
    </row>
    <row r="99" customFormat="false" ht="15" hidden="false" customHeight="false" outlineLevel="0" collapsed="false">
      <c r="A99" s="10" t="s">
        <v>367</v>
      </c>
      <c r="B99" s="10" t="s">
        <v>368</v>
      </c>
      <c r="C99" s="10" t="s">
        <v>69</v>
      </c>
      <c r="D99" s="10"/>
      <c r="E99" s="19" t="s">
        <v>125</v>
      </c>
      <c r="F99" s="23" t="n">
        <v>2</v>
      </c>
      <c r="G99" s="11" t="n">
        <f aca="false">SUMIFS('Issue Log'!$G$2:$G$501,'Issue Log'!$B$2:$B$501,$A99,'Issue Log'!$J$2:$J$501,"Out")</f>
        <v>0</v>
      </c>
      <c r="H99" s="11" t="n">
        <f aca="false">IF($F99="","",$F99-$G99)</f>
        <v>2</v>
      </c>
      <c r="I99" s="23" t="n">
        <v>2</v>
      </c>
      <c r="J99" s="11" t="str">
        <f aca="false">IF($F99="","Not counted",IF($H99&lt;=0,"Out of stock",IF($H99&lt;$I99,"Low stock","In stock")))</f>
        <v>In stock</v>
      </c>
      <c r="K99" s="5" t="s">
        <v>175</v>
      </c>
      <c r="M99" s="26" t="n">
        <f aca="false">IF(Search!$C$4="",0,IF(ISNUMBER(SEARCH(Search!$C$4,$A99&amp;" "&amp;$B99&amp;" "&amp;$C99&amp;" "&amp;$E99)),1,0))</f>
        <v>0</v>
      </c>
      <c r="N99" s="0" t="str">
        <f aca="false">IF(M99=1,SUM($M$2:M99),"")</f>
        <v/>
      </c>
      <c r="O99" s="26" t="n">
        <f aca="false">IF(OR($J99="Out of stock",$J99="Low stock",$J99="Not counted"),1,0)</f>
        <v>0</v>
      </c>
      <c r="P99" s="0" t="str">
        <f aca="false">IF(O99=1,SUM($O$2:O99),"")</f>
        <v/>
      </c>
    </row>
    <row r="100" customFormat="false" ht="15" hidden="false" customHeight="false" outlineLevel="0" collapsed="false">
      <c r="A100" s="10" t="s">
        <v>369</v>
      </c>
      <c r="B100" s="10" t="s">
        <v>370</v>
      </c>
      <c r="C100" s="10" t="s">
        <v>72</v>
      </c>
      <c r="D100" s="10"/>
      <c r="E100" s="19" t="s">
        <v>127</v>
      </c>
      <c r="F100" s="23" t="n">
        <v>9</v>
      </c>
      <c r="G100" s="11" t="n">
        <f aca="false">SUMIFS('Issue Log'!$G$2:$G$501,'Issue Log'!$B$2:$B$501,$A100,'Issue Log'!$J$2:$J$501,"Out")</f>
        <v>0</v>
      </c>
      <c r="H100" s="11" t="n">
        <f aca="false">IF($F100="","",$F100-$G100)</f>
        <v>9</v>
      </c>
      <c r="I100" s="23" t="n">
        <v>4</v>
      </c>
      <c r="J100" s="11" t="str">
        <f aca="false">IF($F100="","Not counted",IF($H100&lt;=0,"Out of stock",IF($H100&lt;$I100,"Low stock","In stock")))</f>
        <v>In stock</v>
      </c>
      <c r="K100" s="5" t="s">
        <v>175</v>
      </c>
      <c r="M100" s="26" t="n">
        <f aca="false">IF(Search!$C$4="",0,IF(ISNUMBER(SEARCH(Search!$C$4,$A100&amp;" "&amp;$B100&amp;" "&amp;$C100&amp;" "&amp;$E100)),1,0))</f>
        <v>0</v>
      </c>
      <c r="N100" s="0" t="str">
        <f aca="false">IF(M100=1,SUM($M$2:M100),"")</f>
        <v/>
      </c>
      <c r="O100" s="26" t="n">
        <f aca="false">IF(OR($J100="Out of stock",$J100="Low stock",$J100="Not counted"),1,0)</f>
        <v>0</v>
      </c>
      <c r="P100" s="0" t="str">
        <f aca="false">IF(O100=1,SUM($O$2:O100),"")</f>
        <v/>
      </c>
    </row>
    <row r="101" customFormat="false" ht="15" hidden="false" customHeight="false" outlineLevel="0" collapsed="false">
      <c r="A101" s="10" t="s">
        <v>371</v>
      </c>
      <c r="B101" s="10" t="s">
        <v>372</v>
      </c>
      <c r="C101" s="10" t="s">
        <v>72</v>
      </c>
      <c r="D101" s="10"/>
      <c r="E101" s="19" t="s">
        <v>127</v>
      </c>
      <c r="F101" s="23" t="n">
        <v>18</v>
      </c>
      <c r="G101" s="11" t="n">
        <f aca="false">SUMIFS('Issue Log'!$G$2:$G$501,'Issue Log'!$B$2:$B$501,$A101,'Issue Log'!$J$2:$J$501,"Out")</f>
        <v>0</v>
      </c>
      <c r="H101" s="11" t="n">
        <f aca="false">IF($F101="","",$F101-$G101)</f>
        <v>18</v>
      </c>
      <c r="I101" s="23" t="n">
        <v>4</v>
      </c>
      <c r="J101" s="11" t="str">
        <f aca="false">IF($F101="","Not counted",IF($H101&lt;=0,"Out of stock",IF($H101&lt;$I101,"Low stock","In stock")))</f>
        <v>In stock</v>
      </c>
      <c r="K101" s="5" t="s">
        <v>175</v>
      </c>
      <c r="M101" s="26" t="n">
        <f aca="false">IF(Search!$C$4="",0,IF(ISNUMBER(SEARCH(Search!$C$4,$A101&amp;" "&amp;$B101&amp;" "&amp;$C101&amp;" "&amp;$E101)),1,0))</f>
        <v>0</v>
      </c>
      <c r="N101" s="0" t="str">
        <f aca="false">IF(M101=1,SUM($M$2:M101),"")</f>
        <v/>
      </c>
      <c r="O101" s="26" t="n">
        <f aca="false">IF(OR($J101="Out of stock",$J101="Low stock",$J101="Not counted"),1,0)</f>
        <v>0</v>
      </c>
      <c r="P101" s="0" t="str">
        <f aca="false">IF(O101=1,SUM($O$2:O101),"")</f>
        <v/>
      </c>
    </row>
    <row r="102" customFormat="false" ht="15" hidden="false" customHeight="false" outlineLevel="0" collapsed="false">
      <c r="A102" s="10" t="s">
        <v>373</v>
      </c>
      <c r="B102" s="10" t="s">
        <v>374</v>
      </c>
      <c r="C102" s="10" t="s">
        <v>72</v>
      </c>
      <c r="D102" s="10"/>
      <c r="E102" s="19" t="s">
        <v>127</v>
      </c>
      <c r="F102" s="23"/>
      <c r="G102" s="11" t="n">
        <f aca="false">SUMIFS('Issue Log'!$G$2:$G$501,'Issue Log'!$B$2:$B$501,$A102,'Issue Log'!$J$2:$J$501,"Out")</f>
        <v>0</v>
      </c>
      <c r="H102" s="11" t="str">
        <f aca="false">IF($F102="","",$F102-$G102)</f>
        <v/>
      </c>
      <c r="I102" s="23" t="n">
        <v>4</v>
      </c>
      <c r="J102" s="11" t="str">
        <f aca="false">IF($F102="","Not counted",IF($H102&lt;=0,"Out of stock",IF($H102&lt;$I102,"Low stock","In stock")))</f>
        <v>Not counted</v>
      </c>
      <c r="K102" s="5" t="s">
        <v>175</v>
      </c>
      <c r="M102" s="26" t="n">
        <f aca="false">IF(Search!$C$4="",0,IF(ISNUMBER(SEARCH(Search!$C$4,$A102&amp;" "&amp;$B102&amp;" "&amp;$C102&amp;" "&amp;$E102)),1,0))</f>
        <v>0</v>
      </c>
      <c r="N102" s="0" t="str">
        <f aca="false">IF(M102=1,SUM($M$2:M102),"")</f>
        <v/>
      </c>
      <c r="O102" s="26" t="n">
        <f aca="false">IF(OR($J102="Out of stock",$J102="Low stock",$J102="Not counted"),1,0)</f>
        <v>1</v>
      </c>
      <c r="P102" s="26" t="n">
        <f aca="false">IF(O102=1,SUM($O$2:O102),"")</f>
        <v>14</v>
      </c>
    </row>
    <row r="103" customFormat="false" ht="15" hidden="false" customHeight="false" outlineLevel="0" collapsed="false">
      <c r="A103" s="10" t="s">
        <v>375</v>
      </c>
      <c r="B103" s="10" t="s">
        <v>376</v>
      </c>
      <c r="C103" s="10" t="s">
        <v>51</v>
      </c>
      <c r="D103" s="10"/>
      <c r="E103" s="19" t="s">
        <v>128</v>
      </c>
      <c r="F103" s="23" t="n">
        <v>51</v>
      </c>
      <c r="G103" s="11" t="n">
        <f aca="false">SUMIFS('Issue Log'!$G$2:$G$501,'Issue Log'!$B$2:$B$501,$A103,'Issue Log'!$J$2:$J$501,"Out")</f>
        <v>0</v>
      </c>
      <c r="H103" s="11" t="n">
        <f aca="false">IF($F103="","",$F103-$G103)</f>
        <v>51</v>
      </c>
      <c r="I103" s="23" t="n">
        <v>5</v>
      </c>
      <c r="J103" s="11" t="str">
        <f aca="false">IF($F103="","Not counted",IF($H103&lt;=0,"Out of stock",IF($H103&lt;$I103,"Low stock","In stock")))</f>
        <v>In stock</v>
      </c>
      <c r="K103" s="5" t="s">
        <v>175</v>
      </c>
      <c r="M103" s="26" t="n">
        <f aca="false">IF(Search!$C$4="",0,IF(ISNUMBER(SEARCH(Search!$C$4,$A103&amp;" "&amp;$B103&amp;" "&amp;$C103&amp;" "&amp;$E103)),1,0))</f>
        <v>0</v>
      </c>
      <c r="N103" s="0" t="str">
        <f aca="false">IF(M103=1,SUM($M$2:M103),"")</f>
        <v/>
      </c>
      <c r="O103" s="26" t="n">
        <f aca="false">IF(OR($J103="Out of stock",$J103="Low stock",$J103="Not counted"),1,0)</f>
        <v>0</v>
      </c>
      <c r="P103" s="0" t="str">
        <f aca="false">IF(O103=1,SUM($O$2:O103),"")</f>
        <v/>
      </c>
    </row>
    <row r="104" customFormat="false" ht="15" hidden="false" customHeight="false" outlineLevel="0" collapsed="false">
      <c r="A104" s="10" t="s">
        <v>377</v>
      </c>
      <c r="B104" s="10" t="s">
        <v>378</v>
      </c>
      <c r="C104" s="10" t="s">
        <v>51</v>
      </c>
      <c r="D104" s="10"/>
      <c r="E104" s="19" t="s">
        <v>128</v>
      </c>
      <c r="F104" s="23" t="n">
        <v>188</v>
      </c>
      <c r="G104" s="11" t="n">
        <f aca="false">SUMIFS('Issue Log'!$G$2:$G$501,'Issue Log'!$B$2:$B$501,$A104,'Issue Log'!$J$2:$J$501,"Out")</f>
        <v>0</v>
      </c>
      <c r="H104" s="11" t="n">
        <f aca="false">IF($F104="","",$F104-$G104)</f>
        <v>188</v>
      </c>
      <c r="I104" s="23" t="n">
        <v>5</v>
      </c>
      <c r="J104" s="11" t="str">
        <f aca="false">IF($F104="","Not counted",IF($H104&lt;=0,"Out of stock",IF($H104&lt;$I104,"Low stock","In stock")))</f>
        <v>In stock</v>
      </c>
      <c r="K104" s="5" t="s">
        <v>175</v>
      </c>
      <c r="M104" s="26" t="n">
        <f aca="false">IF(Search!$C$4="",0,IF(ISNUMBER(SEARCH(Search!$C$4,$A104&amp;" "&amp;$B104&amp;" "&amp;$C104&amp;" "&amp;$E104)),1,0))</f>
        <v>0</v>
      </c>
      <c r="N104" s="0" t="str">
        <f aca="false">IF(M104=1,SUM($M$2:M104),"")</f>
        <v/>
      </c>
      <c r="O104" s="26" t="n">
        <f aca="false">IF(OR($J104="Out of stock",$J104="Low stock",$J104="Not counted"),1,0)</f>
        <v>0</v>
      </c>
      <c r="P104" s="0" t="str">
        <f aca="false">IF(O104=1,SUM($O$2:O104),"")</f>
        <v/>
      </c>
    </row>
    <row r="105" customFormat="false" ht="15" hidden="false" customHeight="false" outlineLevel="0" collapsed="false">
      <c r="A105" s="10" t="s">
        <v>379</v>
      </c>
      <c r="B105" s="10" t="s">
        <v>380</v>
      </c>
      <c r="C105" s="10" t="s">
        <v>51</v>
      </c>
      <c r="D105" s="10"/>
      <c r="E105" s="19" t="s">
        <v>128</v>
      </c>
      <c r="F105" s="23" t="n">
        <v>144</v>
      </c>
      <c r="G105" s="11" t="n">
        <f aca="false">SUMIFS('Issue Log'!$G$2:$G$501,'Issue Log'!$B$2:$B$501,$A105,'Issue Log'!$J$2:$J$501,"Out")</f>
        <v>0</v>
      </c>
      <c r="H105" s="11" t="n">
        <f aca="false">IF($F105="","",$F105-$G105)</f>
        <v>144</v>
      </c>
      <c r="I105" s="23" t="n">
        <v>5</v>
      </c>
      <c r="J105" s="11" t="str">
        <f aca="false">IF($F105="","Not counted",IF($H105&lt;=0,"Out of stock",IF($H105&lt;$I105,"Low stock","In stock")))</f>
        <v>In stock</v>
      </c>
      <c r="K105" s="5" t="s">
        <v>175</v>
      </c>
      <c r="M105" s="26" t="n">
        <f aca="false">IF(Search!$C$4="",0,IF(ISNUMBER(SEARCH(Search!$C$4,$A105&amp;" "&amp;$B105&amp;" "&amp;$C105&amp;" "&amp;$E105)),1,0))</f>
        <v>0</v>
      </c>
      <c r="N105" s="0" t="str">
        <f aca="false">IF(M105=1,SUM($M$2:M105),"")</f>
        <v/>
      </c>
      <c r="O105" s="26" t="n">
        <f aca="false">IF(OR($J105="Out of stock",$J105="Low stock",$J105="Not counted"),1,0)</f>
        <v>0</v>
      </c>
      <c r="P105" s="0" t="str">
        <f aca="false">IF(O105=1,SUM($O$2:O105),"")</f>
        <v/>
      </c>
    </row>
    <row r="106" customFormat="false" ht="15" hidden="false" customHeight="false" outlineLevel="0" collapsed="false">
      <c r="A106" s="10" t="s">
        <v>381</v>
      </c>
      <c r="B106" s="10" t="s">
        <v>382</v>
      </c>
      <c r="C106" s="10" t="s">
        <v>67</v>
      </c>
      <c r="D106" s="10"/>
      <c r="E106" s="19" t="s">
        <v>129</v>
      </c>
      <c r="F106" s="23" t="n">
        <v>10</v>
      </c>
      <c r="G106" s="11" t="n">
        <f aca="false">SUMIFS('Issue Log'!$G$2:$G$501,'Issue Log'!$B$2:$B$501,$A106,'Issue Log'!$J$2:$J$501,"Out")</f>
        <v>0</v>
      </c>
      <c r="H106" s="11" t="n">
        <f aca="false">IF($F106="","",$F106-$G106)</f>
        <v>10</v>
      </c>
      <c r="I106" s="23" t="n">
        <v>2</v>
      </c>
      <c r="J106" s="11" t="str">
        <f aca="false">IF($F106="","Not counted",IF($H106&lt;=0,"Out of stock",IF($H106&lt;$I106,"Low stock","In stock")))</f>
        <v>In stock</v>
      </c>
      <c r="K106" s="5" t="s">
        <v>175</v>
      </c>
      <c r="M106" s="26" t="n">
        <f aca="false">IF(Search!$C$4="",0,IF(ISNUMBER(SEARCH(Search!$C$4,$A106&amp;" "&amp;$B106&amp;" "&amp;$C106&amp;" "&amp;$E106)),1,0))</f>
        <v>0</v>
      </c>
      <c r="N106" s="0" t="str">
        <f aca="false">IF(M106=1,SUM($M$2:M106),"")</f>
        <v/>
      </c>
      <c r="O106" s="26" t="n">
        <f aca="false">IF(OR($J106="Out of stock",$J106="Low stock",$J106="Not counted"),1,0)</f>
        <v>0</v>
      </c>
      <c r="P106" s="0" t="str">
        <f aca="false">IF(O106=1,SUM($O$2:O106),"")</f>
        <v/>
      </c>
    </row>
    <row r="107" customFormat="false" ht="15" hidden="false" customHeight="false" outlineLevel="0" collapsed="false">
      <c r="A107" s="10" t="s">
        <v>383</v>
      </c>
      <c r="B107" s="10" t="s">
        <v>384</v>
      </c>
      <c r="C107" s="10" t="s">
        <v>67</v>
      </c>
      <c r="D107" s="10"/>
      <c r="E107" s="19" t="s">
        <v>129</v>
      </c>
      <c r="F107" s="23" t="n">
        <v>20</v>
      </c>
      <c r="G107" s="11" t="n">
        <f aca="false">SUMIFS('Issue Log'!$G$2:$G$501,'Issue Log'!$B$2:$B$501,$A107,'Issue Log'!$J$2:$J$501,"Out")</f>
        <v>0</v>
      </c>
      <c r="H107" s="11" t="n">
        <f aca="false">IF($F107="","",$F107-$G107)</f>
        <v>20</v>
      </c>
      <c r="I107" s="23" t="n">
        <v>2</v>
      </c>
      <c r="J107" s="11" t="str">
        <f aca="false">IF($F107="","Not counted",IF($H107&lt;=0,"Out of stock",IF($H107&lt;$I107,"Low stock","In stock")))</f>
        <v>In stock</v>
      </c>
      <c r="K107" s="5" t="s">
        <v>175</v>
      </c>
      <c r="M107" s="26" t="n">
        <f aca="false">IF(Search!$C$4="",0,IF(ISNUMBER(SEARCH(Search!$C$4,$A107&amp;" "&amp;$B107&amp;" "&amp;$C107&amp;" "&amp;$E107)),1,0))</f>
        <v>0</v>
      </c>
      <c r="N107" s="0" t="str">
        <f aca="false">IF(M107=1,SUM($M$2:M107),"")</f>
        <v/>
      </c>
      <c r="O107" s="26" t="n">
        <f aca="false">IF(OR($J107="Out of stock",$J107="Low stock",$J107="Not counted"),1,0)</f>
        <v>0</v>
      </c>
      <c r="P107" s="0" t="str">
        <f aca="false">IF(O107=1,SUM($O$2:O107),"")</f>
        <v/>
      </c>
    </row>
    <row r="108" customFormat="false" ht="15" hidden="false" customHeight="false" outlineLevel="0" collapsed="false">
      <c r="A108" s="10" t="s">
        <v>385</v>
      </c>
      <c r="B108" s="10" t="s">
        <v>386</v>
      </c>
      <c r="C108" s="10" t="s">
        <v>60</v>
      </c>
      <c r="D108" s="10"/>
      <c r="E108" s="19" t="s">
        <v>129</v>
      </c>
      <c r="F108" s="23" t="n">
        <v>5</v>
      </c>
      <c r="G108" s="11" t="n">
        <f aca="false">SUMIFS('Issue Log'!$G$2:$G$501,'Issue Log'!$B$2:$B$501,$A108,'Issue Log'!$J$2:$J$501,"Out")</f>
        <v>0</v>
      </c>
      <c r="H108" s="11" t="n">
        <f aca="false">IF($F108="","",$F108-$G108)</f>
        <v>5</v>
      </c>
      <c r="I108" s="23" t="n">
        <v>2</v>
      </c>
      <c r="J108" s="11" t="str">
        <f aca="false">IF($F108="","Not counted",IF($H108&lt;=0,"Out of stock",IF($H108&lt;$I108,"Low stock","In stock")))</f>
        <v>In stock</v>
      </c>
      <c r="K108" s="5" t="s">
        <v>175</v>
      </c>
      <c r="M108" s="26" t="n">
        <f aca="false">IF(Search!$C$4="",0,IF(ISNUMBER(SEARCH(Search!$C$4,$A108&amp;" "&amp;$B108&amp;" "&amp;$C108&amp;" "&amp;$E108)),1,0))</f>
        <v>0</v>
      </c>
      <c r="N108" s="0" t="str">
        <f aca="false">IF(M108=1,SUM($M$2:M108),"")</f>
        <v/>
      </c>
      <c r="O108" s="26" t="n">
        <f aca="false">IF(OR($J108="Out of stock",$J108="Low stock",$J108="Not counted"),1,0)</f>
        <v>0</v>
      </c>
      <c r="P108" s="0" t="str">
        <f aca="false">IF(O108=1,SUM($O$2:O108),"")</f>
        <v/>
      </c>
    </row>
    <row r="109" customFormat="false" ht="15" hidden="false" customHeight="false" outlineLevel="0" collapsed="false">
      <c r="A109" s="10" t="s">
        <v>387</v>
      </c>
      <c r="B109" s="10" t="s">
        <v>388</v>
      </c>
      <c r="C109" s="10" t="s">
        <v>51</v>
      </c>
      <c r="D109" s="10"/>
      <c r="E109" s="19" t="s">
        <v>130</v>
      </c>
      <c r="F109" s="23" t="n">
        <v>6</v>
      </c>
      <c r="G109" s="11" t="n">
        <f aca="false">SUMIFS('Issue Log'!$G$2:$G$501,'Issue Log'!$B$2:$B$501,$A109,'Issue Log'!$J$2:$J$501,"Out")</f>
        <v>0</v>
      </c>
      <c r="H109" s="11" t="n">
        <f aca="false">IF($F109="","",$F109-$G109)</f>
        <v>6</v>
      </c>
      <c r="I109" s="23" t="n">
        <v>5</v>
      </c>
      <c r="J109" s="11" t="str">
        <f aca="false">IF($F109="","Not counted",IF($H109&lt;=0,"Out of stock",IF($H109&lt;$I109,"Low stock","In stock")))</f>
        <v>In stock</v>
      </c>
      <c r="K109" s="5" t="s">
        <v>175</v>
      </c>
      <c r="M109" s="26" t="n">
        <f aca="false">IF(Search!$C$4="",0,IF(ISNUMBER(SEARCH(Search!$C$4,$A109&amp;" "&amp;$B109&amp;" "&amp;$C109&amp;" "&amp;$E109)),1,0))</f>
        <v>0</v>
      </c>
      <c r="N109" s="0" t="str">
        <f aca="false">IF(M109=1,SUM($M$2:M109),"")</f>
        <v/>
      </c>
      <c r="O109" s="26" t="n">
        <f aca="false">IF(OR($J109="Out of stock",$J109="Low stock",$J109="Not counted"),1,0)</f>
        <v>0</v>
      </c>
      <c r="P109" s="0" t="str">
        <f aca="false">IF(O109=1,SUM($O$2:O109),"")</f>
        <v/>
      </c>
    </row>
    <row r="110" customFormat="false" ht="15" hidden="false" customHeight="false" outlineLevel="0" collapsed="false">
      <c r="A110" s="10" t="s">
        <v>389</v>
      </c>
      <c r="B110" s="10" t="s">
        <v>390</v>
      </c>
      <c r="C110" s="10" t="s">
        <v>51</v>
      </c>
      <c r="D110" s="10"/>
      <c r="E110" s="19" t="s">
        <v>130</v>
      </c>
      <c r="F110" s="23" t="n">
        <v>3</v>
      </c>
      <c r="G110" s="11" t="n">
        <f aca="false">SUMIFS('Issue Log'!$G$2:$G$501,'Issue Log'!$B$2:$B$501,$A110,'Issue Log'!$J$2:$J$501,"Out")</f>
        <v>0</v>
      </c>
      <c r="H110" s="11" t="n">
        <f aca="false">IF($F110="","",$F110-$G110)</f>
        <v>3</v>
      </c>
      <c r="I110" s="23" t="n">
        <v>5</v>
      </c>
      <c r="J110" s="11" t="str">
        <f aca="false">IF($F110="","Not counted",IF($H110&lt;=0,"Out of stock",IF($H110&lt;$I110,"Low stock","In stock")))</f>
        <v>Low stock</v>
      </c>
      <c r="K110" s="5" t="s">
        <v>175</v>
      </c>
      <c r="M110" s="26" t="n">
        <f aca="false">IF(Search!$C$4="",0,IF(ISNUMBER(SEARCH(Search!$C$4,$A110&amp;" "&amp;$B110&amp;" "&amp;$C110&amp;" "&amp;$E110)),1,0))</f>
        <v>0</v>
      </c>
      <c r="N110" s="0" t="str">
        <f aca="false">IF(M110=1,SUM($M$2:M110),"")</f>
        <v/>
      </c>
      <c r="O110" s="26" t="n">
        <f aca="false">IF(OR($J110="Out of stock",$J110="Low stock",$J110="Not counted"),1,0)</f>
        <v>1</v>
      </c>
      <c r="P110" s="26" t="n">
        <f aca="false">IF(O110=1,SUM($O$2:O110),"")</f>
        <v>15</v>
      </c>
    </row>
    <row r="111" customFormat="false" ht="15" hidden="false" customHeight="false" outlineLevel="0" collapsed="false">
      <c r="A111" s="10" t="s">
        <v>391</v>
      </c>
      <c r="B111" s="10" t="s">
        <v>392</v>
      </c>
      <c r="C111" s="10" t="s">
        <v>51</v>
      </c>
      <c r="D111" s="10"/>
      <c r="E111" s="19" t="s">
        <v>130</v>
      </c>
      <c r="F111" s="23" t="n">
        <v>13</v>
      </c>
      <c r="G111" s="11" t="n">
        <f aca="false">SUMIFS('Issue Log'!$G$2:$G$501,'Issue Log'!$B$2:$B$501,$A111,'Issue Log'!$J$2:$J$501,"Out")</f>
        <v>0</v>
      </c>
      <c r="H111" s="11" t="n">
        <f aca="false">IF($F111="","",$F111-$G111)</f>
        <v>13</v>
      </c>
      <c r="I111" s="23" t="n">
        <v>5</v>
      </c>
      <c r="J111" s="11" t="str">
        <f aca="false">IF($F111="","Not counted",IF($H111&lt;=0,"Out of stock",IF($H111&lt;$I111,"Low stock","In stock")))</f>
        <v>In stock</v>
      </c>
      <c r="K111" s="5" t="s">
        <v>175</v>
      </c>
      <c r="M111" s="26" t="n">
        <f aca="false">IF(Search!$C$4="",0,IF(ISNUMBER(SEARCH(Search!$C$4,$A111&amp;" "&amp;$B111&amp;" "&amp;$C111&amp;" "&amp;$E111)),1,0))</f>
        <v>0</v>
      </c>
      <c r="N111" s="0" t="str">
        <f aca="false">IF(M111=1,SUM($M$2:M111),"")</f>
        <v/>
      </c>
      <c r="O111" s="26" t="n">
        <f aca="false">IF(OR($J111="Out of stock",$J111="Low stock",$J111="Not counted"),1,0)</f>
        <v>0</v>
      </c>
      <c r="P111" s="0" t="str">
        <f aca="false">IF(O111=1,SUM($O$2:O111),"")</f>
        <v/>
      </c>
    </row>
    <row r="112" customFormat="false" ht="15" hidden="false" customHeight="false" outlineLevel="0" collapsed="false">
      <c r="A112" s="10" t="s">
        <v>393</v>
      </c>
      <c r="B112" s="10" t="s">
        <v>394</v>
      </c>
      <c r="C112" s="10" t="s">
        <v>60</v>
      </c>
      <c r="D112" s="10"/>
      <c r="E112" s="19" t="s">
        <v>163</v>
      </c>
      <c r="F112" s="23" t="n">
        <v>15</v>
      </c>
      <c r="G112" s="11" t="n">
        <f aca="false">SUMIFS('Issue Log'!$G$2:$G$501,'Issue Log'!$B$2:$B$501,$A112,'Issue Log'!$J$2:$J$501,"Out")</f>
        <v>0</v>
      </c>
      <c r="H112" s="11" t="n">
        <f aca="false">IF($F112="","",$F112-$G112)</f>
        <v>15</v>
      </c>
      <c r="I112" s="23" t="n">
        <v>2</v>
      </c>
      <c r="J112" s="11" t="str">
        <f aca="false">IF($F112="","Not counted",IF($H112&lt;=0,"Out of stock",IF($H112&lt;$I112,"Low stock","In stock")))</f>
        <v>In stock</v>
      </c>
      <c r="K112" s="5" t="s">
        <v>175</v>
      </c>
      <c r="M112" s="26" t="n">
        <f aca="false">IF(Search!$C$4="",0,IF(ISNUMBER(SEARCH(Search!$C$4,$A112&amp;" "&amp;$B112&amp;" "&amp;$C112&amp;" "&amp;$E112)),1,0))</f>
        <v>0</v>
      </c>
      <c r="N112" s="0" t="str">
        <f aca="false">IF(M112=1,SUM($M$2:M112),"")</f>
        <v/>
      </c>
      <c r="O112" s="26" t="n">
        <f aca="false">IF(OR($J112="Out of stock",$J112="Low stock",$J112="Not counted"),1,0)</f>
        <v>0</v>
      </c>
      <c r="P112" s="0" t="str">
        <f aca="false">IF(O112=1,SUM($O$2:O112),"")</f>
        <v/>
      </c>
    </row>
    <row r="113" customFormat="false" ht="15" hidden="false" customHeight="false" outlineLevel="0" collapsed="false">
      <c r="A113" s="10" t="s">
        <v>395</v>
      </c>
      <c r="B113" s="10" t="s">
        <v>396</v>
      </c>
      <c r="C113" s="10" t="s">
        <v>60</v>
      </c>
      <c r="D113" s="10"/>
      <c r="E113" s="19" t="s">
        <v>131</v>
      </c>
      <c r="F113" s="23" t="n">
        <v>10</v>
      </c>
      <c r="G113" s="11" t="n">
        <f aca="false">SUMIFS('Issue Log'!$G$2:$G$501,'Issue Log'!$B$2:$B$501,$A113,'Issue Log'!$J$2:$J$501,"Out")</f>
        <v>0</v>
      </c>
      <c r="H113" s="11" t="n">
        <f aca="false">IF($F113="","",$F113-$G113)</f>
        <v>10</v>
      </c>
      <c r="I113" s="23" t="n">
        <v>2</v>
      </c>
      <c r="J113" s="11" t="str">
        <f aca="false">IF($F113="","Not counted",IF($H113&lt;=0,"Out of stock",IF($H113&lt;$I113,"Low stock","In stock")))</f>
        <v>In stock</v>
      </c>
      <c r="K113" s="5" t="s">
        <v>175</v>
      </c>
      <c r="M113" s="26" t="n">
        <f aca="false">IF(Search!$C$4="",0,IF(ISNUMBER(SEARCH(Search!$C$4,$A113&amp;" "&amp;$B113&amp;" "&amp;$C113&amp;" "&amp;$E113)),1,0))</f>
        <v>0</v>
      </c>
      <c r="N113" s="0" t="str">
        <f aca="false">IF(M113=1,SUM($M$2:M113),"")</f>
        <v/>
      </c>
      <c r="O113" s="26" t="n">
        <f aca="false">IF(OR($J113="Out of stock",$J113="Low stock",$J113="Not counted"),1,0)</f>
        <v>0</v>
      </c>
      <c r="P113" s="0" t="str">
        <f aca="false">IF(O113=1,SUM($O$2:O113),"")</f>
        <v/>
      </c>
    </row>
    <row r="114" customFormat="false" ht="15" hidden="false" customHeight="false" outlineLevel="0" collapsed="false">
      <c r="A114" s="10" t="s">
        <v>397</v>
      </c>
      <c r="B114" s="10" t="s">
        <v>398</v>
      </c>
      <c r="C114" s="10" t="s">
        <v>22</v>
      </c>
      <c r="D114" s="10"/>
      <c r="E114" s="19" t="s">
        <v>131</v>
      </c>
      <c r="F114" s="23" t="n">
        <v>6</v>
      </c>
      <c r="G114" s="11" t="n">
        <f aca="false">SUMIFS('Issue Log'!$G$2:$G$501,'Issue Log'!$B$2:$B$501,$A114,'Issue Log'!$J$2:$J$501,"Out")</f>
        <v>0</v>
      </c>
      <c r="H114" s="11" t="n">
        <f aca="false">IF($F114="","",$F114-$G114)</f>
        <v>6</v>
      </c>
      <c r="I114" s="23" t="n">
        <v>1</v>
      </c>
      <c r="J114" s="11" t="str">
        <f aca="false">IF($F114="","Not counted",IF($H114&lt;=0,"Out of stock",IF($H114&lt;$I114,"Low stock","In stock")))</f>
        <v>In stock</v>
      </c>
      <c r="K114" s="5" t="s">
        <v>175</v>
      </c>
      <c r="M114" s="26" t="n">
        <f aca="false">IF(Search!$C$4="",0,IF(ISNUMBER(SEARCH(Search!$C$4,$A114&amp;" "&amp;$B114&amp;" "&amp;$C114&amp;" "&amp;$E114)),1,0))</f>
        <v>0</v>
      </c>
      <c r="N114" s="0" t="str">
        <f aca="false">IF(M114=1,SUM($M$2:M114),"")</f>
        <v/>
      </c>
      <c r="O114" s="26" t="n">
        <f aca="false">IF(OR($J114="Out of stock",$J114="Low stock",$J114="Not counted"),1,0)</f>
        <v>0</v>
      </c>
      <c r="P114" s="0" t="str">
        <f aca="false">IF(O114=1,SUM($O$2:O114),"")</f>
        <v/>
      </c>
    </row>
    <row r="115" customFormat="false" ht="15" hidden="false" customHeight="false" outlineLevel="0" collapsed="false">
      <c r="A115" s="10" t="s">
        <v>399</v>
      </c>
      <c r="B115" s="10" t="s">
        <v>400</v>
      </c>
      <c r="C115" s="10" t="s">
        <v>60</v>
      </c>
      <c r="D115" s="10"/>
      <c r="E115" s="19" t="s">
        <v>131</v>
      </c>
      <c r="F115" s="23" t="n">
        <v>1</v>
      </c>
      <c r="G115" s="11" t="n">
        <f aca="false">SUMIFS('Issue Log'!$G$2:$G$501,'Issue Log'!$B$2:$B$501,$A115,'Issue Log'!$J$2:$J$501,"Out")</f>
        <v>0</v>
      </c>
      <c r="H115" s="11" t="n">
        <f aca="false">IF($F115="","",$F115-$G115)</f>
        <v>1</v>
      </c>
      <c r="I115" s="23" t="n">
        <v>2</v>
      </c>
      <c r="J115" s="11" t="str">
        <f aca="false">IF($F115="","Not counted",IF($H115&lt;=0,"Out of stock",IF($H115&lt;$I115,"Low stock","In stock")))</f>
        <v>Low stock</v>
      </c>
      <c r="K115" s="5" t="s">
        <v>175</v>
      </c>
      <c r="M115" s="26" t="n">
        <f aca="false">IF(Search!$C$4="",0,IF(ISNUMBER(SEARCH(Search!$C$4,$A115&amp;" "&amp;$B115&amp;" "&amp;$C115&amp;" "&amp;$E115)),1,0))</f>
        <v>0</v>
      </c>
      <c r="N115" s="0" t="str">
        <f aca="false">IF(M115=1,SUM($M$2:M115),"")</f>
        <v/>
      </c>
      <c r="O115" s="26" t="n">
        <f aca="false">IF(OR($J115="Out of stock",$J115="Low stock",$J115="Not counted"),1,0)</f>
        <v>1</v>
      </c>
      <c r="P115" s="26" t="n">
        <f aca="false">IF(O115=1,SUM($O$2:O115),"")</f>
        <v>16</v>
      </c>
    </row>
    <row r="116" customFormat="false" ht="15" hidden="false" customHeight="false" outlineLevel="0" collapsed="false">
      <c r="A116" s="10" t="s">
        <v>401</v>
      </c>
      <c r="B116" s="10" t="s">
        <v>402</v>
      </c>
      <c r="C116" s="10" t="s">
        <v>48</v>
      </c>
      <c r="D116" s="10"/>
      <c r="E116" s="19" t="s">
        <v>132</v>
      </c>
      <c r="F116" s="23"/>
      <c r="G116" s="11" t="n">
        <f aca="false">SUMIFS('Issue Log'!$G$2:$G$501,'Issue Log'!$B$2:$B$501,$A116,'Issue Log'!$J$2:$J$501,"Out")</f>
        <v>0</v>
      </c>
      <c r="H116" s="11" t="str">
        <f aca="false">IF($F116="","",$F116-$G116)</f>
        <v/>
      </c>
      <c r="I116" s="23" t="n">
        <v>5</v>
      </c>
      <c r="J116" s="11" t="str">
        <f aca="false">IF($F116="","Not counted",IF($H116&lt;=0,"Out of stock",IF($H116&lt;$I116,"Low stock","In stock")))</f>
        <v>Not counted</v>
      </c>
      <c r="K116" s="5" t="s">
        <v>175</v>
      </c>
      <c r="M116" s="26" t="n">
        <f aca="false">IF(Search!$C$4="",0,IF(ISNUMBER(SEARCH(Search!$C$4,$A116&amp;" "&amp;$B116&amp;" "&amp;$C116&amp;" "&amp;$E116)),1,0))</f>
        <v>0</v>
      </c>
      <c r="N116" s="0" t="str">
        <f aca="false">IF(M116=1,SUM($M$2:M116),"")</f>
        <v/>
      </c>
      <c r="O116" s="26" t="n">
        <f aca="false">IF(OR($J116="Out of stock",$J116="Low stock",$J116="Not counted"),1,0)</f>
        <v>1</v>
      </c>
      <c r="P116" s="26" t="n">
        <f aca="false">IF(O116=1,SUM($O$2:O116),"")</f>
        <v>17</v>
      </c>
    </row>
    <row r="117" customFormat="false" ht="15" hidden="false" customHeight="false" outlineLevel="0" collapsed="false">
      <c r="A117" s="10" t="s">
        <v>403</v>
      </c>
      <c r="B117" s="10" t="s">
        <v>404</v>
      </c>
      <c r="C117" s="10" t="s">
        <v>48</v>
      </c>
      <c r="D117" s="10"/>
      <c r="E117" s="19" t="s">
        <v>133</v>
      </c>
      <c r="F117" s="23"/>
      <c r="G117" s="11" t="n">
        <f aca="false">SUMIFS('Issue Log'!$G$2:$G$501,'Issue Log'!$B$2:$B$501,$A117,'Issue Log'!$J$2:$J$501,"Out")</f>
        <v>0</v>
      </c>
      <c r="H117" s="11" t="str">
        <f aca="false">IF($F117="","",$F117-$G117)</f>
        <v/>
      </c>
      <c r="I117" s="23" t="n">
        <v>5</v>
      </c>
      <c r="J117" s="11" t="str">
        <f aca="false">IF($F117="","Not counted",IF($H117&lt;=0,"Out of stock",IF($H117&lt;$I117,"Low stock","In stock")))</f>
        <v>Not counted</v>
      </c>
      <c r="K117" s="5" t="s">
        <v>175</v>
      </c>
      <c r="M117" s="26" t="n">
        <f aca="false">IF(Search!$C$4="",0,IF(ISNUMBER(SEARCH(Search!$C$4,$A117&amp;" "&amp;$B117&amp;" "&amp;$C117&amp;" "&amp;$E117)),1,0))</f>
        <v>0</v>
      </c>
      <c r="N117" s="0" t="str">
        <f aca="false">IF(M117=1,SUM($M$2:M117),"")</f>
        <v/>
      </c>
      <c r="O117" s="26" t="n">
        <f aca="false">IF(OR($J117="Out of stock",$J117="Low stock",$J117="Not counted"),1,0)</f>
        <v>1</v>
      </c>
      <c r="P117" s="26" t="n">
        <f aca="false">IF(O117=1,SUM($O$2:O117),"")</f>
        <v>18</v>
      </c>
    </row>
    <row r="118" customFormat="false" ht="15" hidden="false" customHeight="false" outlineLevel="0" collapsed="false">
      <c r="A118" s="10" t="s">
        <v>405</v>
      </c>
      <c r="B118" s="10" t="s">
        <v>49</v>
      </c>
      <c r="C118" s="10" t="s">
        <v>49</v>
      </c>
      <c r="D118" s="10"/>
      <c r="E118" s="19" t="s">
        <v>134</v>
      </c>
      <c r="F118" s="23" t="n">
        <v>5</v>
      </c>
      <c r="G118" s="11" t="n">
        <f aca="false">SUMIFS('Issue Log'!$G$2:$G$501,'Issue Log'!$B$2:$B$501,$A118,'Issue Log'!$J$2:$J$501,"Out")</f>
        <v>0</v>
      </c>
      <c r="H118" s="11" t="n">
        <f aca="false">IF($F118="","",$F118-$G118)</f>
        <v>5</v>
      </c>
      <c r="I118" s="23" t="n">
        <v>4</v>
      </c>
      <c r="J118" s="11" t="str">
        <f aca="false">IF($F118="","Not counted",IF($H118&lt;=0,"Out of stock",IF($H118&lt;$I118,"Low stock","In stock")))</f>
        <v>In stock</v>
      </c>
      <c r="K118" s="5" t="s">
        <v>175</v>
      </c>
      <c r="M118" s="26" t="n">
        <f aca="false">IF(Search!$C$4="",0,IF(ISNUMBER(SEARCH(Search!$C$4,$A118&amp;" "&amp;$B118&amp;" "&amp;$C118&amp;" "&amp;$E118)),1,0))</f>
        <v>0</v>
      </c>
      <c r="N118" s="0" t="str">
        <f aca="false">IF(M118=1,SUM($M$2:M118),"")</f>
        <v/>
      </c>
      <c r="O118" s="26" t="n">
        <f aca="false">IF(OR($J118="Out of stock",$J118="Low stock",$J118="Not counted"),1,0)</f>
        <v>0</v>
      </c>
      <c r="P118" s="0" t="str">
        <f aca="false">IF(O118=1,SUM($O$2:O118),"")</f>
        <v/>
      </c>
    </row>
    <row r="119" customFormat="false" ht="15" hidden="false" customHeight="false" outlineLevel="0" collapsed="false">
      <c r="A119" s="10" t="s">
        <v>406</v>
      </c>
      <c r="B119" s="10" t="s">
        <v>407</v>
      </c>
      <c r="C119" s="10" t="s">
        <v>51</v>
      </c>
      <c r="D119" s="10"/>
      <c r="E119" s="19" t="s">
        <v>134</v>
      </c>
      <c r="F119" s="23" t="n">
        <v>25</v>
      </c>
      <c r="G119" s="11" t="n">
        <f aca="false">SUMIFS('Issue Log'!$G$2:$G$501,'Issue Log'!$B$2:$B$501,$A119,'Issue Log'!$J$2:$J$501,"Out")</f>
        <v>0</v>
      </c>
      <c r="H119" s="11" t="n">
        <f aca="false">IF($F119="","",$F119-$G119)</f>
        <v>25</v>
      </c>
      <c r="I119" s="23" t="n">
        <v>5</v>
      </c>
      <c r="J119" s="11" t="str">
        <f aca="false">IF($F119="","Not counted",IF($H119&lt;=0,"Out of stock",IF($H119&lt;$I119,"Low stock","In stock")))</f>
        <v>In stock</v>
      </c>
      <c r="K119" s="5" t="s">
        <v>175</v>
      </c>
      <c r="M119" s="26" t="n">
        <f aca="false">IF(Search!$C$4="",0,IF(ISNUMBER(SEARCH(Search!$C$4,$A119&amp;" "&amp;$B119&amp;" "&amp;$C119&amp;" "&amp;$E119)),1,0))</f>
        <v>0</v>
      </c>
      <c r="N119" s="0" t="str">
        <f aca="false">IF(M119=1,SUM($M$2:M119),"")</f>
        <v/>
      </c>
      <c r="O119" s="26" t="n">
        <f aca="false">IF(OR($J119="Out of stock",$J119="Low stock",$J119="Not counted"),1,0)</f>
        <v>0</v>
      </c>
      <c r="P119" s="0" t="str">
        <f aca="false">IF(O119=1,SUM($O$2:O119),"")</f>
        <v/>
      </c>
    </row>
    <row r="120" customFormat="false" ht="15" hidden="false" customHeight="false" outlineLevel="0" collapsed="false">
      <c r="A120" s="10" t="s">
        <v>408</v>
      </c>
      <c r="B120" s="10" t="s">
        <v>409</v>
      </c>
      <c r="C120" s="10" t="s">
        <v>51</v>
      </c>
      <c r="D120" s="10"/>
      <c r="E120" s="19" t="s">
        <v>134</v>
      </c>
      <c r="F120" s="23" t="n">
        <v>98</v>
      </c>
      <c r="G120" s="11" t="n">
        <f aca="false">SUMIFS('Issue Log'!$G$2:$G$501,'Issue Log'!$B$2:$B$501,$A120,'Issue Log'!$J$2:$J$501,"Out")</f>
        <v>0</v>
      </c>
      <c r="H120" s="11" t="n">
        <f aca="false">IF($F120="","",$F120-$G120)</f>
        <v>98</v>
      </c>
      <c r="I120" s="23" t="n">
        <v>5</v>
      </c>
      <c r="J120" s="11" t="str">
        <f aca="false">IF($F120="","Not counted",IF($H120&lt;=0,"Out of stock",IF($H120&lt;$I120,"Low stock","In stock")))</f>
        <v>In stock</v>
      </c>
      <c r="K120" s="5" t="s">
        <v>175</v>
      </c>
      <c r="M120" s="26" t="n">
        <f aca="false">IF(Search!$C$4="",0,IF(ISNUMBER(SEARCH(Search!$C$4,$A120&amp;" "&amp;$B120&amp;" "&amp;$C120&amp;" "&amp;$E120)),1,0))</f>
        <v>0</v>
      </c>
      <c r="N120" s="0" t="str">
        <f aca="false">IF(M120=1,SUM($M$2:M120),"")</f>
        <v/>
      </c>
      <c r="O120" s="26" t="n">
        <f aca="false">IF(OR($J120="Out of stock",$J120="Low stock",$J120="Not counted"),1,0)</f>
        <v>0</v>
      </c>
      <c r="P120" s="0" t="str">
        <f aca="false">IF(O120=1,SUM($O$2:O120),"")</f>
        <v/>
      </c>
    </row>
    <row r="121" customFormat="false" ht="15" hidden="false" customHeight="false" outlineLevel="0" collapsed="false">
      <c r="A121" s="10" t="s">
        <v>410</v>
      </c>
      <c r="B121" s="10" t="s">
        <v>411</v>
      </c>
      <c r="C121" s="10" t="s">
        <v>68</v>
      </c>
      <c r="D121" s="10"/>
      <c r="E121" s="19" t="s">
        <v>134</v>
      </c>
      <c r="F121" s="23" t="n">
        <v>154</v>
      </c>
      <c r="G121" s="11" t="n">
        <f aca="false">SUMIFS('Issue Log'!$G$2:$G$501,'Issue Log'!$B$2:$B$501,$A121,'Issue Log'!$J$2:$J$501,"Out")</f>
        <v>0</v>
      </c>
      <c r="H121" s="11" t="n">
        <f aca="false">IF($F121="","",$F121-$G121)</f>
        <v>154</v>
      </c>
      <c r="I121" s="23" t="n">
        <v>10</v>
      </c>
      <c r="J121" s="11" t="str">
        <f aca="false">IF($F121="","Not counted",IF($H121&lt;=0,"Out of stock",IF($H121&lt;$I121,"Low stock","In stock")))</f>
        <v>In stock</v>
      </c>
      <c r="K121" s="5" t="s">
        <v>175</v>
      </c>
      <c r="M121" s="26" t="n">
        <f aca="false">IF(Search!$C$4="",0,IF(ISNUMBER(SEARCH(Search!$C$4,$A121&amp;" "&amp;$B121&amp;" "&amp;$C121&amp;" "&amp;$E121)),1,0))</f>
        <v>1</v>
      </c>
      <c r="N121" s="26" t="n">
        <f aca="false">IF(M121=1,SUM($M$2:M121),"")</f>
        <v>20</v>
      </c>
      <c r="O121" s="26" t="n">
        <f aca="false">IF(OR($J121="Out of stock",$J121="Low stock",$J121="Not counted"),1,0)</f>
        <v>0</v>
      </c>
      <c r="P121" s="0" t="str">
        <f aca="false">IF(O121=1,SUM($O$2:O121),"")</f>
        <v/>
      </c>
    </row>
    <row r="122" customFormat="false" ht="15" hidden="false" customHeight="false" outlineLevel="0" collapsed="false">
      <c r="A122" s="10" t="s">
        <v>412</v>
      </c>
      <c r="B122" s="10" t="s">
        <v>413</v>
      </c>
      <c r="C122" s="10" t="s">
        <v>42</v>
      </c>
      <c r="D122" s="10"/>
      <c r="E122" s="19" t="s">
        <v>134</v>
      </c>
      <c r="F122" s="23"/>
      <c r="G122" s="11" t="n">
        <f aca="false">SUMIFS('Issue Log'!$G$2:$G$501,'Issue Log'!$B$2:$B$501,$A122,'Issue Log'!$J$2:$J$501,"Out")</f>
        <v>0</v>
      </c>
      <c r="H122" s="11" t="str">
        <f aca="false">IF($F122="","",$F122-$G122)</f>
        <v/>
      </c>
      <c r="I122" s="23" t="n">
        <v>5</v>
      </c>
      <c r="J122" s="11" t="str">
        <f aca="false">IF($F122="","Not counted",IF($H122&lt;=0,"Out of stock",IF($H122&lt;$I122,"Low stock","In stock")))</f>
        <v>Not counted</v>
      </c>
      <c r="K122" s="5" t="s">
        <v>175</v>
      </c>
      <c r="M122" s="26" t="n">
        <f aca="false">IF(Search!$C$4="",0,IF(ISNUMBER(SEARCH(Search!$C$4,$A122&amp;" "&amp;$B122&amp;" "&amp;$C122&amp;" "&amp;$E122)),1,0))</f>
        <v>0</v>
      </c>
      <c r="N122" s="0" t="str">
        <f aca="false">IF(M122=1,SUM($M$2:M122),"")</f>
        <v/>
      </c>
      <c r="O122" s="26" t="n">
        <f aca="false">IF(OR($J122="Out of stock",$J122="Low stock",$J122="Not counted"),1,0)</f>
        <v>1</v>
      </c>
      <c r="P122" s="26" t="n">
        <f aca="false">IF(O122=1,SUM($O$2:O122),"")</f>
        <v>19</v>
      </c>
    </row>
    <row r="123" customFormat="false" ht="15" hidden="false" customHeight="false" outlineLevel="0" collapsed="false">
      <c r="A123" s="10" t="s">
        <v>414</v>
      </c>
      <c r="B123" s="10" t="s">
        <v>415</v>
      </c>
      <c r="C123" s="10" t="s">
        <v>50</v>
      </c>
      <c r="D123" s="10"/>
      <c r="E123" s="19" t="s">
        <v>136</v>
      </c>
      <c r="F123" s="23" t="n">
        <v>32</v>
      </c>
      <c r="G123" s="11" t="n">
        <f aca="false">SUMIFS('Issue Log'!$G$2:$G$501,'Issue Log'!$B$2:$B$501,$A123,'Issue Log'!$J$2:$J$501,"Out")</f>
        <v>0</v>
      </c>
      <c r="H123" s="11" t="n">
        <f aca="false">IF($F123="","",$F123-$G123)</f>
        <v>32</v>
      </c>
      <c r="I123" s="23" t="n">
        <v>4</v>
      </c>
      <c r="J123" s="11" t="str">
        <f aca="false">IF($F123="","Not counted",IF($H123&lt;=0,"Out of stock",IF($H123&lt;$I123,"Low stock","In stock")))</f>
        <v>In stock</v>
      </c>
      <c r="K123" s="5" t="s">
        <v>175</v>
      </c>
      <c r="M123" s="26" t="n">
        <f aca="false">IF(Search!$C$4="",0,IF(ISNUMBER(SEARCH(Search!$C$4,$A123&amp;" "&amp;$B123&amp;" "&amp;$C123&amp;" "&amp;$E123)),1,0))</f>
        <v>0</v>
      </c>
      <c r="N123" s="0" t="str">
        <f aca="false">IF(M123=1,SUM($M$2:M123),"")</f>
        <v/>
      </c>
      <c r="O123" s="26" t="n">
        <f aca="false">IF(OR($J123="Out of stock",$J123="Low stock",$J123="Not counted"),1,0)</f>
        <v>0</v>
      </c>
      <c r="P123" s="0" t="str">
        <f aca="false">IF(O123=1,SUM($O$2:O123),"")</f>
        <v/>
      </c>
    </row>
    <row r="124" customFormat="false" ht="15" hidden="false" customHeight="false" outlineLevel="0" collapsed="false">
      <c r="A124" s="10" t="s">
        <v>416</v>
      </c>
      <c r="B124" s="10" t="s">
        <v>417</v>
      </c>
      <c r="C124" s="10" t="s">
        <v>50</v>
      </c>
      <c r="D124" s="10"/>
      <c r="E124" s="19" t="s">
        <v>136</v>
      </c>
      <c r="F124" s="23" t="n">
        <v>4</v>
      </c>
      <c r="G124" s="11" t="n">
        <f aca="false">SUMIFS('Issue Log'!$G$2:$G$501,'Issue Log'!$B$2:$B$501,$A124,'Issue Log'!$J$2:$J$501,"Out")</f>
        <v>0</v>
      </c>
      <c r="H124" s="11" t="n">
        <f aca="false">IF($F124="","",$F124-$G124)</f>
        <v>4</v>
      </c>
      <c r="I124" s="23" t="n">
        <v>4</v>
      </c>
      <c r="J124" s="11" t="str">
        <f aca="false">IF($F124="","Not counted",IF($H124&lt;=0,"Out of stock",IF($H124&lt;$I124,"Low stock","In stock")))</f>
        <v>In stock</v>
      </c>
      <c r="K124" s="5" t="s">
        <v>175</v>
      </c>
      <c r="M124" s="26" t="n">
        <f aca="false">IF(Search!$C$4="",0,IF(ISNUMBER(SEARCH(Search!$C$4,$A124&amp;" "&amp;$B124&amp;" "&amp;$C124&amp;" "&amp;$E124)),1,0))</f>
        <v>0</v>
      </c>
      <c r="N124" s="0" t="str">
        <f aca="false">IF(M124=1,SUM($M$2:M124),"")</f>
        <v/>
      </c>
      <c r="O124" s="26" t="n">
        <f aca="false">IF(OR($J124="Out of stock",$J124="Low stock",$J124="Not counted"),1,0)</f>
        <v>0</v>
      </c>
      <c r="P124" s="0" t="str">
        <f aca="false">IF(O124=1,SUM($O$2:O124),"")</f>
        <v/>
      </c>
    </row>
    <row r="125" customFormat="false" ht="15" hidden="false" customHeight="false" outlineLevel="0" collapsed="false">
      <c r="A125" s="10" t="s">
        <v>418</v>
      </c>
      <c r="B125" s="10" t="s">
        <v>419</v>
      </c>
      <c r="C125" s="10" t="s">
        <v>50</v>
      </c>
      <c r="D125" s="10"/>
      <c r="E125" s="19" t="s">
        <v>136</v>
      </c>
      <c r="F125" s="23" t="n">
        <v>19</v>
      </c>
      <c r="G125" s="11" t="n">
        <f aca="false">SUMIFS('Issue Log'!$G$2:$G$501,'Issue Log'!$B$2:$B$501,$A125,'Issue Log'!$J$2:$J$501,"Out")</f>
        <v>0</v>
      </c>
      <c r="H125" s="11" t="n">
        <f aca="false">IF($F125="","",$F125-$G125)</f>
        <v>19</v>
      </c>
      <c r="I125" s="23" t="n">
        <v>4</v>
      </c>
      <c r="J125" s="11" t="str">
        <f aca="false">IF($F125="","Not counted",IF($H125&lt;=0,"Out of stock",IF($H125&lt;$I125,"Low stock","In stock")))</f>
        <v>In stock</v>
      </c>
      <c r="K125" s="5" t="s">
        <v>175</v>
      </c>
      <c r="M125" s="26" t="n">
        <f aca="false">IF(Search!$C$4="",0,IF(ISNUMBER(SEARCH(Search!$C$4,$A125&amp;" "&amp;$B125&amp;" "&amp;$C125&amp;" "&amp;$E125)),1,0))</f>
        <v>0</v>
      </c>
      <c r="N125" s="0" t="str">
        <f aca="false">IF(M125=1,SUM($M$2:M125),"")</f>
        <v/>
      </c>
      <c r="O125" s="26" t="n">
        <f aca="false">IF(OR($J125="Out of stock",$J125="Low stock",$J125="Not counted"),1,0)</f>
        <v>0</v>
      </c>
      <c r="P125" s="0" t="str">
        <f aca="false">IF(O125=1,SUM($O$2:O125),"")</f>
        <v/>
      </c>
    </row>
    <row r="126" customFormat="false" ht="15" hidden="false" customHeight="false" outlineLevel="0" collapsed="false">
      <c r="A126" s="10" t="s">
        <v>420</v>
      </c>
      <c r="B126" s="10" t="s">
        <v>421</v>
      </c>
      <c r="C126" s="10" t="s">
        <v>50</v>
      </c>
      <c r="D126" s="10"/>
      <c r="E126" s="19" t="s">
        <v>136</v>
      </c>
      <c r="F126" s="23" t="n">
        <v>36</v>
      </c>
      <c r="G126" s="11" t="n">
        <f aca="false">SUMIFS('Issue Log'!$G$2:$G$501,'Issue Log'!$B$2:$B$501,$A126,'Issue Log'!$J$2:$J$501,"Out")</f>
        <v>0</v>
      </c>
      <c r="H126" s="11" t="n">
        <f aca="false">IF($F126="","",$F126-$G126)</f>
        <v>36</v>
      </c>
      <c r="I126" s="23" t="n">
        <v>4</v>
      </c>
      <c r="J126" s="11" t="str">
        <f aca="false">IF($F126="","Not counted",IF($H126&lt;=0,"Out of stock",IF($H126&lt;$I126,"Low stock","In stock")))</f>
        <v>In stock</v>
      </c>
      <c r="K126" s="5" t="s">
        <v>175</v>
      </c>
      <c r="M126" s="26" t="n">
        <f aca="false">IF(Search!$C$4="",0,IF(ISNUMBER(SEARCH(Search!$C$4,$A126&amp;" "&amp;$B126&amp;" "&amp;$C126&amp;" "&amp;$E126)),1,0))</f>
        <v>0</v>
      </c>
      <c r="N126" s="0" t="str">
        <f aca="false">IF(M126=1,SUM($M$2:M126),"")</f>
        <v/>
      </c>
      <c r="O126" s="26" t="n">
        <f aca="false">IF(OR($J126="Out of stock",$J126="Low stock",$J126="Not counted"),1,0)</f>
        <v>0</v>
      </c>
      <c r="P126" s="0" t="str">
        <f aca="false">IF(O126=1,SUM($O$2:O126),"")</f>
        <v/>
      </c>
    </row>
    <row r="127" customFormat="false" ht="15" hidden="false" customHeight="false" outlineLevel="0" collapsed="false">
      <c r="A127" s="10" t="s">
        <v>422</v>
      </c>
      <c r="B127" s="10" t="s">
        <v>423</v>
      </c>
      <c r="C127" s="10" t="s">
        <v>50</v>
      </c>
      <c r="D127" s="10"/>
      <c r="E127" s="19" t="s">
        <v>136</v>
      </c>
      <c r="F127" s="23" t="n">
        <v>25</v>
      </c>
      <c r="G127" s="11" t="n">
        <f aca="false">SUMIFS('Issue Log'!$G$2:$G$501,'Issue Log'!$B$2:$B$501,$A127,'Issue Log'!$J$2:$J$501,"Out")</f>
        <v>0</v>
      </c>
      <c r="H127" s="11" t="n">
        <f aca="false">IF($F127="","",$F127-$G127)</f>
        <v>25</v>
      </c>
      <c r="I127" s="23" t="n">
        <v>4</v>
      </c>
      <c r="J127" s="11" t="str">
        <f aca="false">IF($F127="","Not counted",IF($H127&lt;=0,"Out of stock",IF($H127&lt;$I127,"Low stock","In stock")))</f>
        <v>In stock</v>
      </c>
      <c r="K127" s="5" t="s">
        <v>175</v>
      </c>
      <c r="M127" s="26" t="n">
        <f aca="false">IF(Search!$C$4="",0,IF(ISNUMBER(SEARCH(Search!$C$4,$A127&amp;" "&amp;$B127&amp;" "&amp;$C127&amp;" "&amp;$E127)),1,0))</f>
        <v>0</v>
      </c>
      <c r="N127" s="0" t="str">
        <f aca="false">IF(M127=1,SUM($M$2:M127),"")</f>
        <v/>
      </c>
      <c r="O127" s="26" t="n">
        <f aca="false">IF(OR($J127="Out of stock",$J127="Low stock",$J127="Not counted"),1,0)</f>
        <v>0</v>
      </c>
      <c r="P127" s="0" t="str">
        <f aca="false">IF(O127=1,SUM($O$2:O127),"")</f>
        <v/>
      </c>
    </row>
    <row r="128" customFormat="false" ht="15" hidden="false" customHeight="false" outlineLevel="0" collapsed="false">
      <c r="A128" s="10" t="s">
        <v>424</v>
      </c>
      <c r="B128" s="10" t="s">
        <v>425</v>
      </c>
      <c r="C128" s="10" t="s">
        <v>50</v>
      </c>
      <c r="D128" s="10"/>
      <c r="E128" s="19" t="s">
        <v>136</v>
      </c>
      <c r="F128" s="23" t="n">
        <v>22</v>
      </c>
      <c r="G128" s="11" t="n">
        <f aca="false">SUMIFS('Issue Log'!$G$2:$G$501,'Issue Log'!$B$2:$B$501,$A128,'Issue Log'!$J$2:$J$501,"Out")</f>
        <v>0</v>
      </c>
      <c r="H128" s="11" t="n">
        <f aca="false">IF($F128="","",$F128-$G128)</f>
        <v>22</v>
      </c>
      <c r="I128" s="23" t="n">
        <v>4</v>
      </c>
      <c r="J128" s="11" t="str">
        <f aca="false">IF($F128="","Not counted",IF($H128&lt;=0,"Out of stock",IF($H128&lt;$I128,"Low stock","In stock")))</f>
        <v>In stock</v>
      </c>
      <c r="K128" s="5" t="s">
        <v>175</v>
      </c>
      <c r="M128" s="26" t="n">
        <f aca="false">IF(Search!$C$4="",0,IF(ISNUMBER(SEARCH(Search!$C$4,$A128&amp;" "&amp;$B128&amp;" "&amp;$C128&amp;" "&amp;$E128)),1,0))</f>
        <v>0</v>
      </c>
      <c r="N128" s="0" t="str">
        <f aca="false">IF(M128=1,SUM($M$2:M128),"")</f>
        <v/>
      </c>
      <c r="O128" s="26" t="n">
        <f aca="false">IF(OR($J128="Out of stock",$J128="Low stock",$J128="Not counted"),1,0)</f>
        <v>0</v>
      </c>
      <c r="P128" s="0" t="str">
        <f aca="false">IF(O128=1,SUM($O$2:O128),"")</f>
        <v/>
      </c>
    </row>
    <row r="129" customFormat="false" ht="15" hidden="false" customHeight="false" outlineLevel="0" collapsed="false">
      <c r="A129" s="10" t="s">
        <v>426</v>
      </c>
      <c r="B129" s="10" t="s">
        <v>427</v>
      </c>
      <c r="C129" s="10" t="s">
        <v>50</v>
      </c>
      <c r="D129" s="10"/>
      <c r="E129" s="19" t="s">
        <v>136</v>
      </c>
      <c r="F129" s="23" t="n">
        <v>32</v>
      </c>
      <c r="G129" s="11" t="n">
        <f aca="false">SUMIFS('Issue Log'!$G$2:$G$501,'Issue Log'!$B$2:$B$501,$A129,'Issue Log'!$J$2:$J$501,"Out")</f>
        <v>0</v>
      </c>
      <c r="H129" s="11" t="n">
        <f aca="false">IF($F129="","",$F129-$G129)</f>
        <v>32</v>
      </c>
      <c r="I129" s="23" t="n">
        <v>4</v>
      </c>
      <c r="J129" s="11" t="str">
        <f aca="false">IF($F129="","Not counted",IF($H129&lt;=0,"Out of stock",IF($H129&lt;$I129,"Low stock","In stock")))</f>
        <v>In stock</v>
      </c>
      <c r="K129" s="5" t="s">
        <v>175</v>
      </c>
      <c r="M129" s="26" t="n">
        <f aca="false">IF(Search!$C$4="",0,IF(ISNUMBER(SEARCH(Search!$C$4,$A129&amp;" "&amp;$B129&amp;" "&amp;$C129&amp;" "&amp;$E129)),1,0))</f>
        <v>0</v>
      </c>
      <c r="N129" s="0" t="str">
        <f aca="false">IF(M129=1,SUM($M$2:M129),"")</f>
        <v/>
      </c>
      <c r="O129" s="26" t="n">
        <f aca="false">IF(OR($J129="Out of stock",$J129="Low stock",$J129="Not counted"),1,0)</f>
        <v>0</v>
      </c>
      <c r="P129" s="0" t="str">
        <f aca="false">IF(O129=1,SUM($O$2:O129),"")</f>
        <v/>
      </c>
    </row>
    <row r="130" customFormat="false" ht="15" hidden="false" customHeight="false" outlineLevel="0" collapsed="false">
      <c r="A130" s="10" t="s">
        <v>428</v>
      </c>
      <c r="B130" s="10" t="s">
        <v>429</v>
      </c>
      <c r="C130" s="10" t="s">
        <v>50</v>
      </c>
      <c r="D130" s="10"/>
      <c r="E130" s="19" t="s">
        <v>136</v>
      </c>
      <c r="F130" s="23" t="n">
        <v>56</v>
      </c>
      <c r="G130" s="11" t="n">
        <f aca="false">SUMIFS('Issue Log'!$G$2:$G$501,'Issue Log'!$B$2:$B$501,$A130,'Issue Log'!$J$2:$J$501,"Out")</f>
        <v>0</v>
      </c>
      <c r="H130" s="11" t="n">
        <f aca="false">IF($F130="","",$F130-$G130)</f>
        <v>56</v>
      </c>
      <c r="I130" s="23" t="n">
        <v>4</v>
      </c>
      <c r="J130" s="11" t="str">
        <f aca="false">IF($F130="","Not counted",IF($H130&lt;=0,"Out of stock",IF($H130&lt;$I130,"Low stock","In stock")))</f>
        <v>In stock</v>
      </c>
      <c r="K130" s="5" t="s">
        <v>175</v>
      </c>
      <c r="M130" s="26" t="n">
        <f aca="false">IF(Search!$C$4="",0,IF(ISNUMBER(SEARCH(Search!$C$4,$A130&amp;" "&amp;$B130&amp;" "&amp;$C130&amp;" "&amp;$E130)),1,0))</f>
        <v>0</v>
      </c>
      <c r="N130" s="0" t="str">
        <f aca="false">IF(M130=1,SUM($M$2:M130),"")</f>
        <v/>
      </c>
      <c r="O130" s="26" t="n">
        <f aca="false">IF(OR($J130="Out of stock",$J130="Low stock",$J130="Not counted"),1,0)</f>
        <v>0</v>
      </c>
      <c r="P130" s="0" t="str">
        <f aca="false">IF(O130=1,SUM($O$2:O130),"")</f>
        <v/>
      </c>
    </row>
    <row r="131" customFormat="false" ht="15" hidden="false" customHeight="false" outlineLevel="0" collapsed="false">
      <c r="A131" s="10" t="s">
        <v>430</v>
      </c>
      <c r="B131" s="10" t="s">
        <v>431</v>
      </c>
      <c r="C131" s="10" t="s">
        <v>50</v>
      </c>
      <c r="D131" s="10"/>
      <c r="E131" s="19" t="s">
        <v>136</v>
      </c>
      <c r="F131" s="23" t="n">
        <v>4</v>
      </c>
      <c r="G131" s="11" t="n">
        <f aca="false">SUMIFS('Issue Log'!$G$2:$G$501,'Issue Log'!$B$2:$B$501,$A131,'Issue Log'!$J$2:$J$501,"Out")</f>
        <v>0</v>
      </c>
      <c r="H131" s="11" t="n">
        <f aca="false">IF($F131="","",$F131-$G131)</f>
        <v>4</v>
      </c>
      <c r="I131" s="23" t="n">
        <v>4</v>
      </c>
      <c r="J131" s="11" t="str">
        <f aca="false">IF($F131="","Not counted",IF($H131&lt;=0,"Out of stock",IF($H131&lt;$I131,"Low stock","In stock")))</f>
        <v>In stock</v>
      </c>
      <c r="K131" s="5" t="s">
        <v>175</v>
      </c>
      <c r="M131" s="26" t="n">
        <f aca="false">IF(Search!$C$4="",0,IF(ISNUMBER(SEARCH(Search!$C$4,$A131&amp;" "&amp;$B131&amp;" "&amp;$C131&amp;" "&amp;$E131)),1,0))</f>
        <v>0</v>
      </c>
      <c r="N131" s="0" t="str">
        <f aca="false">IF(M131=1,SUM($M$2:M131),"")</f>
        <v/>
      </c>
      <c r="O131" s="26" t="n">
        <f aca="false">IF(OR($J131="Out of stock",$J131="Low stock",$J131="Not counted"),1,0)</f>
        <v>0</v>
      </c>
      <c r="P131" s="0" t="str">
        <f aca="false">IF(O131=1,SUM($O$2:O131),"")</f>
        <v/>
      </c>
    </row>
    <row r="132" customFormat="false" ht="15" hidden="false" customHeight="false" outlineLevel="0" collapsed="false">
      <c r="A132" s="10" t="s">
        <v>432</v>
      </c>
      <c r="B132" s="10" t="s">
        <v>433</v>
      </c>
      <c r="C132" s="10" t="s">
        <v>50</v>
      </c>
      <c r="D132" s="10"/>
      <c r="E132" s="19" t="s">
        <v>136</v>
      </c>
      <c r="F132" s="23" t="n">
        <v>17</v>
      </c>
      <c r="G132" s="11" t="n">
        <f aca="false">SUMIFS('Issue Log'!$G$2:$G$501,'Issue Log'!$B$2:$B$501,$A132,'Issue Log'!$J$2:$J$501,"Out")</f>
        <v>0</v>
      </c>
      <c r="H132" s="11" t="n">
        <f aca="false">IF($F132="","",$F132-$G132)</f>
        <v>17</v>
      </c>
      <c r="I132" s="23" t="n">
        <v>4</v>
      </c>
      <c r="J132" s="11" t="str">
        <f aca="false">IF($F132="","Not counted",IF($H132&lt;=0,"Out of stock",IF($H132&lt;$I132,"Low stock","In stock")))</f>
        <v>In stock</v>
      </c>
      <c r="K132" s="5" t="s">
        <v>175</v>
      </c>
      <c r="M132" s="26" t="n">
        <f aca="false">IF(Search!$C$4="",0,IF(ISNUMBER(SEARCH(Search!$C$4,$A132&amp;" "&amp;$B132&amp;" "&amp;$C132&amp;" "&amp;$E132)),1,0))</f>
        <v>0</v>
      </c>
      <c r="N132" s="0" t="str">
        <f aca="false">IF(M132=1,SUM($M$2:M132),"")</f>
        <v/>
      </c>
      <c r="O132" s="26" t="n">
        <f aca="false">IF(OR($J132="Out of stock",$J132="Low stock",$J132="Not counted"),1,0)</f>
        <v>0</v>
      </c>
      <c r="P132" s="0" t="str">
        <f aca="false">IF(O132=1,SUM($O$2:O132),"")</f>
        <v/>
      </c>
    </row>
    <row r="133" customFormat="false" ht="15" hidden="false" customHeight="false" outlineLevel="0" collapsed="false">
      <c r="A133" s="10" t="s">
        <v>434</v>
      </c>
      <c r="B133" s="10" t="s">
        <v>435</v>
      </c>
      <c r="C133" s="10" t="s">
        <v>50</v>
      </c>
      <c r="D133" s="10"/>
      <c r="E133" s="19" t="s">
        <v>137</v>
      </c>
      <c r="F133" s="23" t="n">
        <v>7</v>
      </c>
      <c r="G133" s="11" t="n">
        <f aca="false">SUMIFS('Issue Log'!$G$2:$G$501,'Issue Log'!$B$2:$B$501,$A133,'Issue Log'!$J$2:$J$501,"Out")</f>
        <v>0</v>
      </c>
      <c r="H133" s="11" t="n">
        <f aca="false">IF($F133="","",$F133-$G133)</f>
        <v>7</v>
      </c>
      <c r="I133" s="23" t="n">
        <v>4</v>
      </c>
      <c r="J133" s="11" t="str">
        <f aca="false">IF($F133="","Not counted",IF($H133&lt;=0,"Out of stock",IF($H133&lt;$I133,"Low stock","In stock")))</f>
        <v>In stock</v>
      </c>
      <c r="K133" s="5" t="s">
        <v>175</v>
      </c>
      <c r="M133" s="26" t="n">
        <f aca="false">IF(Search!$C$4="",0,IF(ISNUMBER(SEARCH(Search!$C$4,$A133&amp;" "&amp;$B133&amp;" "&amp;$C133&amp;" "&amp;$E133)),1,0))</f>
        <v>0</v>
      </c>
      <c r="N133" s="0" t="str">
        <f aca="false">IF(M133=1,SUM($M$2:M133),"")</f>
        <v/>
      </c>
      <c r="O133" s="26" t="n">
        <f aca="false">IF(OR($J133="Out of stock",$J133="Low stock",$J133="Not counted"),1,0)</f>
        <v>0</v>
      </c>
      <c r="P133" s="0" t="str">
        <f aca="false">IF(O133=1,SUM($O$2:O133),"")</f>
        <v/>
      </c>
    </row>
    <row r="134" customFormat="false" ht="15" hidden="false" customHeight="false" outlineLevel="0" collapsed="false">
      <c r="A134" s="10" t="s">
        <v>436</v>
      </c>
      <c r="B134" s="10" t="s">
        <v>437</v>
      </c>
      <c r="C134" s="10" t="s">
        <v>50</v>
      </c>
      <c r="D134" s="10"/>
      <c r="E134" s="19" t="s">
        <v>137</v>
      </c>
      <c r="F134" s="23" t="n">
        <v>19</v>
      </c>
      <c r="G134" s="11" t="n">
        <f aca="false">SUMIFS('Issue Log'!$G$2:$G$501,'Issue Log'!$B$2:$B$501,$A134,'Issue Log'!$J$2:$J$501,"Out")</f>
        <v>0</v>
      </c>
      <c r="H134" s="11" t="n">
        <f aca="false">IF($F134="","",$F134-$G134)</f>
        <v>19</v>
      </c>
      <c r="I134" s="23" t="n">
        <v>4</v>
      </c>
      <c r="J134" s="11" t="str">
        <f aca="false">IF($F134="","Not counted",IF($H134&lt;=0,"Out of stock",IF($H134&lt;$I134,"Low stock","In stock")))</f>
        <v>In stock</v>
      </c>
      <c r="K134" s="5" t="s">
        <v>175</v>
      </c>
      <c r="M134" s="26" t="n">
        <f aca="false">IF(Search!$C$4="",0,IF(ISNUMBER(SEARCH(Search!$C$4,$A134&amp;" "&amp;$B134&amp;" "&amp;$C134&amp;" "&amp;$E134)),1,0))</f>
        <v>0</v>
      </c>
      <c r="N134" s="0" t="str">
        <f aca="false">IF(M134=1,SUM($M$2:M134),"")</f>
        <v/>
      </c>
      <c r="O134" s="26" t="n">
        <f aca="false">IF(OR($J134="Out of stock",$J134="Low stock",$J134="Not counted"),1,0)</f>
        <v>0</v>
      </c>
      <c r="P134" s="0" t="str">
        <f aca="false">IF(O134=1,SUM($O$2:O134),"")</f>
        <v/>
      </c>
    </row>
    <row r="135" customFormat="false" ht="15" hidden="false" customHeight="false" outlineLevel="0" collapsed="false">
      <c r="A135" s="10" t="s">
        <v>438</v>
      </c>
      <c r="B135" s="10" t="s">
        <v>439</v>
      </c>
      <c r="C135" s="10" t="s">
        <v>50</v>
      </c>
      <c r="D135" s="10"/>
      <c r="E135" s="19" t="s">
        <v>137</v>
      </c>
      <c r="F135" s="23" t="n">
        <v>48</v>
      </c>
      <c r="G135" s="11" t="n">
        <f aca="false">SUMIFS('Issue Log'!$G$2:$G$501,'Issue Log'!$B$2:$B$501,$A135,'Issue Log'!$J$2:$J$501,"Out")</f>
        <v>0</v>
      </c>
      <c r="H135" s="11" t="n">
        <f aca="false">IF($F135="","",$F135-$G135)</f>
        <v>48</v>
      </c>
      <c r="I135" s="23" t="n">
        <v>4</v>
      </c>
      <c r="J135" s="11" t="str">
        <f aca="false">IF($F135="","Not counted",IF($H135&lt;=0,"Out of stock",IF($H135&lt;$I135,"Low stock","In stock")))</f>
        <v>In stock</v>
      </c>
      <c r="K135" s="5" t="s">
        <v>175</v>
      </c>
      <c r="M135" s="26" t="n">
        <f aca="false">IF(Search!$C$4="",0,IF(ISNUMBER(SEARCH(Search!$C$4,$A135&amp;" "&amp;$B135&amp;" "&amp;$C135&amp;" "&amp;$E135)),1,0))</f>
        <v>0</v>
      </c>
      <c r="N135" s="0" t="str">
        <f aca="false">IF(M135=1,SUM($M$2:M135),"")</f>
        <v/>
      </c>
      <c r="O135" s="26" t="n">
        <f aca="false">IF(OR($J135="Out of stock",$J135="Low stock",$J135="Not counted"),1,0)</f>
        <v>0</v>
      </c>
      <c r="P135" s="0" t="str">
        <f aca="false">IF(O135=1,SUM($O$2:O135),"")</f>
        <v/>
      </c>
    </row>
    <row r="136" customFormat="false" ht="15" hidden="false" customHeight="false" outlineLevel="0" collapsed="false">
      <c r="A136" s="10" t="s">
        <v>440</v>
      </c>
      <c r="B136" s="10" t="s">
        <v>441</v>
      </c>
      <c r="C136" s="10" t="s">
        <v>50</v>
      </c>
      <c r="D136" s="10"/>
      <c r="E136" s="19" t="s">
        <v>137</v>
      </c>
      <c r="F136" s="23" t="n">
        <v>5</v>
      </c>
      <c r="G136" s="11" t="n">
        <f aca="false">SUMIFS('Issue Log'!$G$2:$G$501,'Issue Log'!$B$2:$B$501,$A136,'Issue Log'!$J$2:$J$501,"Out")</f>
        <v>0</v>
      </c>
      <c r="H136" s="11" t="n">
        <f aca="false">IF($F136="","",$F136-$G136)</f>
        <v>5</v>
      </c>
      <c r="I136" s="23" t="n">
        <v>4</v>
      </c>
      <c r="J136" s="11" t="str">
        <f aca="false">IF($F136="","Not counted",IF($H136&lt;=0,"Out of stock",IF($H136&lt;$I136,"Low stock","In stock")))</f>
        <v>In stock</v>
      </c>
      <c r="K136" s="5" t="s">
        <v>175</v>
      </c>
      <c r="M136" s="26" t="n">
        <f aca="false">IF(Search!$C$4="",0,IF(ISNUMBER(SEARCH(Search!$C$4,$A136&amp;" "&amp;$B136&amp;" "&amp;$C136&amp;" "&amp;$E136)),1,0))</f>
        <v>0</v>
      </c>
      <c r="N136" s="0" t="str">
        <f aca="false">IF(M136=1,SUM($M$2:M136),"")</f>
        <v/>
      </c>
      <c r="O136" s="26" t="n">
        <f aca="false">IF(OR($J136="Out of stock",$J136="Low stock",$J136="Not counted"),1,0)</f>
        <v>0</v>
      </c>
      <c r="P136" s="0" t="str">
        <f aca="false">IF(O136=1,SUM($O$2:O136),"")</f>
        <v/>
      </c>
    </row>
    <row r="137" customFormat="false" ht="15" hidden="false" customHeight="false" outlineLevel="0" collapsed="false">
      <c r="A137" s="10" t="s">
        <v>442</v>
      </c>
      <c r="B137" s="10" t="s">
        <v>443</v>
      </c>
      <c r="C137" s="10" t="s">
        <v>50</v>
      </c>
      <c r="D137" s="10"/>
      <c r="E137" s="19" t="s">
        <v>137</v>
      </c>
      <c r="F137" s="23" t="n">
        <v>17</v>
      </c>
      <c r="G137" s="11" t="n">
        <f aca="false">SUMIFS('Issue Log'!$G$2:$G$501,'Issue Log'!$B$2:$B$501,$A137,'Issue Log'!$J$2:$J$501,"Out")</f>
        <v>0</v>
      </c>
      <c r="H137" s="11" t="n">
        <f aca="false">IF($F137="","",$F137-$G137)</f>
        <v>17</v>
      </c>
      <c r="I137" s="23" t="n">
        <v>4</v>
      </c>
      <c r="J137" s="11" t="str">
        <f aca="false">IF($F137="","Not counted",IF($H137&lt;=0,"Out of stock",IF($H137&lt;$I137,"Low stock","In stock")))</f>
        <v>In stock</v>
      </c>
      <c r="K137" s="5" t="s">
        <v>175</v>
      </c>
      <c r="M137" s="26" t="n">
        <f aca="false">IF(Search!$C$4="",0,IF(ISNUMBER(SEARCH(Search!$C$4,$A137&amp;" "&amp;$B137&amp;" "&amp;$C137&amp;" "&amp;$E137)),1,0))</f>
        <v>0</v>
      </c>
      <c r="N137" s="0" t="str">
        <f aca="false">IF(M137=1,SUM($M$2:M137),"")</f>
        <v/>
      </c>
      <c r="O137" s="26" t="n">
        <f aca="false">IF(OR($J137="Out of stock",$J137="Low stock",$J137="Not counted"),1,0)</f>
        <v>0</v>
      </c>
      <c r="P137" s="0" t="str">
        <f aca="false">IF(O137=1,SUM($O$2:O137),"")</f>
        <v/>
      </c>
    </row>
    <row r="138" customFormat="false" ht="15" hidden="false" customHeight="false" outlineLevel="0" collapsed="false">
      <c r="A138" s="10" t="s">
        <v>444</v>
      </c>
      <c r="B138" s="10" t="s">
        <v>445</v>
      </c>
      <c r="C138" s="10" t="s">
        <v>50</v>
      </c>
      <c r="D138" s="10"/>
      <c r="E138" s="19" t="s">
        <v>137</v>
      </c>
      <c r="F138" s="23" t="n">
        <v>29</v>
      </c>
      <c r="G138" s="11" t="n">
        <f aca="false">SUMIFS('Issue Log'!$G$2:$G$501,'Issue Log'!$B$2:$B$501,$A138,'Issue Log'!$J$2:$J$501,"Out")</f>
        <v>0</v>
      </c>
      <c r="H138" s="11" t="n">
        <f aca="false">IF($F138="","",$F138-$G138)</f>
        <v>29</v>
      </c>
      <c r="I138" s="23" t="n">
        <v>4</v>
      </c>
      <c r="J138" s="11" t="str">
        <f aca="false">IF($F138="","Not counted",IF($H138&lt;=0,"Out of stock",IF($H138&lt;$I138,"Low stock","In stock")))</f>
        <v>In stock</v>
      </c>
      <c r="K138" s="5" t="s">
        <v>175</v>
      </c>
      <c r="M138" s="26" t="n">
        <f aca="false">IF(Search!$C$4="",0,IF(ISNUMBER(SEARCH(Search!$C$4,$A138&amp;" "&amp;$B138&amp;" "&amp;$C138&amp;" "&amp;$E138)),1,0))</f>
        <v>0</v>
      </c>
      <c r="N138" s="0" t="str">
        <f aca="false">IF(M138=1,SUM($M$2:M138),"")</f>
        <v/>
      </c>
      <c r="O138" s="26" t="n">
        <f aca="false">IF(OR($J138="Out of stock",$J138="Low stock",$J138="Not counted"),1,0)</f>
        <v>0</v>
      </c>
      <c r="P138" s="0" t="str">
        <f aca="false">IF(O138=1,SUM($O$2:O138),"")</f>
        <v/>
      </c>
    </row>
    <row r="139" customFormat="false" ht="15" hidden="false" customHeight="false" outlineLevel="0" collapsed="false">
      <c r="A139" s="10" t="s">
        <v>446</v>
      </c>
      <c r="B139" s="10" t="s">
        <v>447</v>
      </c>
      <c r="C139" s="10" t="s">
        <v>50</v>
      </c>
      <c r="D139" s="10"/>
      <c r="E139" s="19" t="s">
        <v>138</v>
      </c>
      <c r="F139" s="23" t="n">
        <v>48</v>
      </c>
      <c r="G139" s="11" t="n">
        <f aca="false">SUMIFS('Issue Log'!$G$2:$G$501,'Issue Log'!$B$2:$B$501,$A139,'Issue Log'!$J$2:$J$501,"Out")</f>
        <v>0</v>
      </c>
      <c r="H139" s="11" t="n">
        <f aca="false">IF($F139="","",$F139-$G139)</f>
        <v>48</v>
      </c>
      <c r="I139" s="23" t="n">
        <v>4</v>
      </c>
      <c r="J139" s="11" t="str">
        <f aca="false">IF($F139="","Not counted",IF($H139&lt;=0,"Out of stock",IF($H139&lt;$I139,"Low stock","In stock")))</f>
        <v>In stock</v>
      </c>
      <c r="K139" s="5" t="s">
        <v>175</v>
      </c>
      <c r="M139" s="26" t="n">
        <f aca="false">IF(Search!$C$4="",0,IF(ISNUMBER(SEARCH(Search!$C$4,$A139&amp;" "&amp;$B139&amp;" "&amp;$C139&amp;" "&amp;$E139)),1,0))</f>
        <v>0</v>
      </c>
      <c r="N139" s="0" t="str">
        <f aca="false">IF(M139=1,SUM($M$2:M139),"")</f>
        <v/>
      </c>
      <c r="O139" s="26" t="n">
        <f aca="false">IF(OR($J139="Out of stock",$J139="Low stock",$J139="Not counted"),1,0)</f>
        <v>0</v>
      </c>
      <c r="P139" s="0" t="str">
        <f aca="false">IF(O139=1,SUM($O$2:O139),"")</f>
        <v/>
      </c>
    </row>
    <row r="140" customFormat="false" ht="15" hidden="false" customHeight="false" outlineLevel="0" collapsed="false">
      <c r="A140" s="10" t="s">
        <v>448</v>
      </c>
      <c r="B140" s="10" t="s">
        <v>449</v>
      </c>
      <c r="C140" s="10" t="s">
        <v>50</v>
      </c>
      <c r="D140" s="10"/>
      <c r="E140" s="19" t="s">
        <v>138</v>
      </c>
      <c r="F140" s="23" t="n">
        <v>21</v>
      </c>
      <c r="G140" s="11" t="n">
        <f aca="false">SUMIFS('Issue Log'!$G$2:$G$501,'Issue Log'!$B$2:$B$501,$A140,'Issue Log'!$J$2:$J$501,"Out")</f>
        <v>0</v>
      </c>
      <c r="H140" s="11" t="n">
        <f aca="false">IF($F140="","",$F140-$G140)</f>
        <v>21</v>
      </c>
      <c r="I140" s="23" t="n">
        <v>4</v>
      </c>
      <c r="J140" s="11" t="str">
        <f aca="false">IF($F140="","Not counted",IF($H140&lt;=0,"Out of stock",IF($H140&lt;$I140,"Low stock","In stock")))</f>
        <v>In stock</v>
      </c>
      <c r="K140" s="5" t="s">
        <v>175</v>
      </c>
      <c r="M140" s="26" t="n">
        <f aca="false">IF(Search!$C$4="",0,IF(ISNUMBER(SEARCH(Search!$C$4,$A140&amp;" "&amp;$B140&amp;" "&amp;$C140&amp;" "&amp;$E140)),1,0))</f>
        <v>0</v>
      </c>
      <c r="N140" s="0" t="str">
        <f aca="false">IF(M140=1,SUM($M$2:M140),"")</f>
        <v/>
      </c>
      <c r="O140" s="26" t="n">
        <f aca="false">IF(OR($J140="Out of stock",$J140="Low stock",$J140="Not counted"),1,0)</f>
        <v>0</v>
      </c>
      <c r="P140" s="0" t="str">
        <f aca="false">IF(O140=1,SUM($O$2:O140),"")</f>
        <v/>
      </c>
    </row>
    <row r="141" customFormat="false" ht="15" hidden="false" customHeight="false" outlineLevel="0" collapsed="false">
      <c r="A141" s="10" t="s">
        <v>450</v>
      </c>
      <c r="B141" s="10" t="s">
        <v>451</v>
      </c>
      <c r="C141" s="10" t="s">
        <v>50</v>
      </c>
      <c r="D141" s="10"/>
      <c r="E141" s="19" t="s">
        <v>138</v>
      </c>
      <c r="F141" s="23" t="n">
        <v>10</v>
      </c>
      <c r="G141" s="11" t="n">
        <f aca="false">SUMIFS('Issue Log'!$G$2:$G$501,'Issue Log'!$B$2:$B$501,$A141,'Issue Log'!$J$2:$J$501,"Out")</f>
        <v>0</v>
      </c>
      <c r="H141" s="11" t="n">
        <f aca="false">IF($F141="","",$F141-$G141)</f>
        <v>10</v>
      </c>
      <c r="I141" s="23" t="n">
        <v>4</v>
      </c>
      <c r="J141" s="11" t="str">
        <f aca="false">IF($F141="","Not counted",IF($H141&lt;=0,"Out of stock",IF($H141&lt;$I141,"Low stock","In stock")))</f>
        <v>In stock</v>
      </c>
      <c r="K141" s="5" t="s">
        <v>175</v>
      </c>
      <c r="M141" s="26" t="n">
        <f aca="false">IF(Search!$C$4="",0,IF(ISNUMBER(SEARCH(Search!$C$4,$A141&amp;" "&amp;$B141&amp;" "&amp;$C141&amp;" "&amp;$E141)),1,0))</f>
        <v>0</v>
      </c>
      <c r="N141" s="0" t="str">
        <f aca="false">IF(M141=1,SUM($M$2:M141),"")</f>
        <v/>
      </c>
      <c r="O141" s="26" t="n">
        <f aca="false">IF(OR($J141="Out of stock",$J141="Low stock",$J141="Not counted"),1,0)</f>
        <v>0</v>
      </c>
      <c r="P141" s="0" t="str">
        <f aca="false">IF(O141=1,SUM($O$2:O141),"")</f>
        <v/>
      </c>
    </row>
    <row r="142" customFormat="false" ht="15" hidden="false" customHeight="false" outlineLevel="0" collapsed="false">
      <c r="A142" s="10" t="s">
        <v>452</v>
      </c>
      <c r="B142" s="10" t="s">
        <v>453</v>
      </c>
      <c r="C142" s="10" t="s">
        <v>50</v>
      </c>
      <c r="D142" s="10"/>
      <c r="E142" s="19" t="s">
        <v>138</v>
      </c>
      <c r="F142" s="23" t="n">
        <v>18</v>
      </c>
      <c r="G142" s="11" t="n">
        <f aca="false">SUMIFS('Issue Log'!$G$2:$G$501,'Issue Log'!$B$2:$B$501,$A142,'Issue Log'!$J$2:$J$501,"Out")</f>
        <v>0</v>
      </c>
      <c r="H142" s="11" t="n">
        <f aca="false">IF($F142="","",$F142-$G142)</f>
        <v>18</v>
      </c>
      <c r="I142" s="23" t="n">
        <v>4</v>
      </c>
      <c r="J142" s="11" t="str">
        <f aca="false">IF($F142="","Not counted",IF($H142&lt;=0,"Out of stock",IF($H142&lt;$I142,"Low stock","In stock")))</f>
        <v>In stock</v>
      </c>
      <c r="K142" s="5" t="s">
        <v>175</v>
      </c>
      <c r="M142" s="26" t="n">
        <f aca="false">IF(Search!$C$4="",0,IF(ISNUMBER(SEARCH(Search!$C$4,$A142&amp;" "&amp;$B142&amp;" "&amp;$C142&amp;" "&amp;$E142)),1,0))</f>
        <v>0</v>
      </c>
      <c r="N142" s="0" t="str">
        <f aca="false">IF(M142=1,SUM($M$2:M142),"")</f>
        <v/>
      </c>
      <c r="O142" s="26" t="n">
        <f aca="false">IF(OR($J142="Out of stock",$J142="Low stock",$J142="Not counted"),1,0)</f>
        <v>0</v>
      </c>
      <c r="P142" s="0" t="str">
        <f aca="false">IF(O142=1,SUM($O$2:O142),"")</f>
        <v/>
      </c>
    </row>
    <row r="143" customFormat="false" ht="15" hidden="false" customHeight="false" outlineLevel="0" collapsed="false">
      <c r="A143" s="10" t="s">
        <v>454</v>
      </c>
      <c r="B143" s="10" t="s">
        <v>455</v>
      </c>
      <c r="C143" s="10" t="s">
        <v>50</v>
      </c>
      <c r="D143" s="10"/>
      <c r="E143" s="19" t="s">
        <v>138</v>
      </c>
      <c r="F143" s="23" t="n">
        <v>11</v>
      </c>
      <c r="G143" s="11" t="n">
        <f aca="false">SUMIFS('Issue Log'!$G$2:$G$501,'Issue Log'!$B$2:$B$501,$A143,'Issue Log'!$J$2:$J$501,"Out")</f>
        <v>0</v>
      </c>
      <c r="H143" s="11" t="n">
        <f aca="false">IF($F143="","",$F143-$G143)</f>
        <v>11</v>
      </c>
      <c r="I143" s="23" t="n">
        <v>4</v>
      </c>
      <c r="J143" s="11" t="str">
        <f aca="false">IF($F143="","Not counted",IF($H143&lt;=0,"Out of stock",IF($H143&lt;$I143,"Low stock","In stock")))</f>
        <v>In stock</v>
      </c>
      <c r="K143" s="5" t="s">
        <v>175</v>
      </c>
      <c r="M143" s="26" t="n">
        <f aca="false">IF(Search!$C$4="",0,IF(ISNUMBER(SEARCH(Search!$C$4,$A143&amp;" "&amp;$B143&amp;" "&amp;$C143&amp;" "&amp;$E143)),1,0))</f>
        <v>0</v>
      </c>
      <c r="N143" s="0" t="str">
        <f aca="false">IF(M143=1,SUM($M$2:M143),"")</f>
        <v/>
      </c>
      <c r="O143" s="26" t="n">
        <f aca="false">IF(OR($J143="Out of stock",$J143="Low stock",$J143="Not counted"),1,0)</f>
        <v>0</v>
      </c>
      <c r="P143" s="0" t="str">
        <f aca="false">IF(O143=1,SUM($O$2:O143),"")</f>
        <v/>
      </c>
    </row>
    <row r="144" customFormat="false" ht="15" hidden="false" customHeight="false" outlineLevel="0" collapsed="false">
      <c r="A144" s="10" t="s">
        <v>456</v>
      </c>
      <c r="B144" s="10" t="s">
        <v>457</v>
      </c>
      <c r="C144" s="10" t="s">
        <v>50</v>
      </c>
      <c r="D144" s="10"/>
      <c r="E144" s="19" t="s">
        <v>138</v>
      </c>
      <c r="F144" s="23" t="n">
        <v>15</v>
      </c>
      <c r="G144" s="11" t="n">
        <f aca="false">SUMIFS('Issue Log'!$G$2:$G$501,'Issue Log'!$B$2:$B$501,$A144,'Issue Log'!$J$2:$J$501,"Out")</f>
        <v>0</v>
      </c>
      <c r="H144" s="11" t="n">
        <f aca="false">IF($F144="","",$F144-$G144)</f>
        <v>15</v>
      </c>
      <c r="I144" s="23" t="n">
        <v>4</v>
      </c>
      <c r="J144" s="11" t="str">
        <f aca="false">IF($F144="","Not counted",IF($H144&lt;=0,"Out of stock",IF($H144&lt;$I144,"Low stock","In stock")))</f>
        <v>In stock</v>
      </c>
      <c r="K144" s="5" t="s">
        <v>175</v>
      </c>
      <c r="M144" s="26" t="n">
        <f aca="false">IF(Search!$C$4="",0,IF(ISNUMBER(SEARCH(Search!$C$4,$A144&amp;" "&amp;$B144&amp;" "&amp;$C144&amp;" "&amp;$E144)),1,0))</f>
        <v>0</v>
      </c>
      <c r="N144" s="0" t="str">
        <f aca="false">IF(M144=1,SUM($M$2:M144),"")</f>
        <v/>
      </c>
      <c r="O144" s="26" t="n">
        <f aca="false">IF(OR($J144="Out of stock",$J144="Low stock",$J144="Not counted"),1,0)</f>
        <v>0</v>
      </c>
      <c r="P144" s="0" t="str">
        <f aca="false">IF(O144=1,SUM($O$2:O144),"")</f>
        <v/>
      </c>
    </row>
    <row r="145" customFormat="false" ht="15" hidden="false" customHeight="false" outlineLevel="0" collapsed="false">
      <c r="A145" s="10" t="s">
        <v>458</v>
      </c>
      <c r="B145" s="10" t="s">
        <v>459</v>
      </c>
      <c r="C145" s="10" t="s">
        <v>50</v>
      </c>
      <c r="D145" s="10"/>
      <c r="E145" s="19" t="s">
        <v>138</v>
      </c>
      <c r="F145" s="23" t="n">
        <v>3</v>
      </c>
      <c r="G145" s="11" t="n">
        <f aca="false">SUMIFS('Issue Log'!$G$2:$G$501,'Issue Log'!$B$2:$B$501,$A145,'Issue Log'!$J$2:$J$501,"Out")</f>
        <v>0</v>
      </c>
      <c r="H145" s="11" t="n">
        <f aca="false">IF($F145="","",$F145-$G145)</f>
        <v>3</v>
      </c>
      <c r="I145" s="23" t="n">
        <v>4</v>
      </c>
      <c r="J145" s="11" t="str">
        <f aca="false">IF($F145="","Not counted",IF($H145&lt;=0,"Out of stock",IF($H145&lt;$I145,"Low stock","In stock")))</f>
        <v>Low stock</v>
      </c>
      <c r="K145" s="5" t="s">
        <v>175</v>
      </c>
      <c r="M145" s="26" t="n">
        <f aca="false">IF(Search!$C$4="",0,IF(ISNUMBER(SEARCH(Search!$C$4,$A145&amp;" "&amp;$B145&amp;" "&amp;$C145&amp;" "&amp;$E145)),1,0))</f>
        <v>0</v>
      </c>
      <c r="N145" s="0" t="str">
        <f aca="false">IF(M145=1,SUM($M$2:M145),"")</f>
        <v/>
      </c>
      <c r="O145" s="26" t="n">
        <f aca="false">IF(OR($J145="Out of stock",$J145="Low stock",$J145="Not counted"),1,0)</f>
        <v>1</v>
      </c>
      <c r="P145" s="26" t="n">
        <f aca="false">IF(O145=1,SUM($O$2:O145),"")</f>
        <v>20</v>
      </c>
    </row>
    <row r="146" customFormat="false" ht="15" hidden="false" customHeight="false" outlineLevel="0" collapsed="false">
      <c r="A146" s="10" t="s">
        <v>460</v>
      </c>
      <c r="B146" s="10" t="s">
        <v>461</v>
      </c>
      <c r="C146" s="10" t="s">
        <v>50</v>
      </c>
      <c r="D146" s="10"/>
      <c r="E146" s="19" t="s">
        <v>138</v>
      </c>
      <c r="F146" s="23" t="n">
        <v>23</v>
      </c>
      <c r="G146" s="11" t="n">
        <f aca="false">SUMIFS('Issue Log'!$G$2:$G$501,'Issue Log'!$B$2:$B$501,$A146,'Issue Log'!$J$2:$J$501,"Out")</f>
        <v>0</v>
      </c>
      <c r="H146" s="11" t="n">
        <f aca="false">IF($F146="","",$F146-$G146)</f>
        <v>23</v>
      </c>
      <c r="I146" s="23" t="n">
        <v>4</v>
      </c>
      <c r="J146" s="11" t="str">
        <f aca="false">IF($F146="","Not counted",IF($H146&lt;=0,"Out of stock",IF($H146&lt;$I146,"Low stock","In stock")))</f>
        <v>In stock</v>
      </c>
      <c r="K146" s="5" t="s">
        <v>175</v>
      </c>
      <c r="M146" s="26" t="n">
        <f aca="false">IF(Search!$C$4="",0,IF(ISNUMBER(SEARCH(Search!$C$4,$A146&amp;" "&amp;$B146&amp;" "&amp;$C146&amp;" "&amp;$E146)),1,0))</f>
        <v>0</v>
      </c>
      <c r="N146" s="0" t="str">
        <f aca="false">IF(M146=1,SUM($M$2:M146),"")</f>
        <v/>
      </c>
      <c r="O146" s="26" t="n">
        <f aca="false">IF(OR($J146="Out of stock",$J146="Low stock",$J146="Not counted"),1,0)</f>
        <v>0</v>
      </c>
      <c r="P146" s="0" t="str">
        <f aca="false">IF(O146=1,SUM($O$2:O146),"")</f>
        <v/>
      </c>
    </row>
    <row r="147" customFormat="false" ht="15" hidden="false" customHeight="false" outlineLevel="0" collapsed="false">
      <c r="A147" s="10" t="s">
        <v>462</v>
      </c>
      <c r="B147" s="10" t="s">
        <v>463</v>
      </c>
      <c r="C147" s="10" t="s">
        <v>50</v>
      </c>
      <c r="D147" s="10"/>
      <c r="E147" s="19" t="s">
        <v>139</v>
      </c>
      <c r="F147" s="23" t="n">
        <v>24</v>
      </c>
      <c r="G147" s="11" t="n">
        <f aca="false">SUMIFS('Issue Log'!$G$2:$G$501,'Issue Log'!$B$2:$B$501,$A147,'Issue Log'!$J$2:$J$501,"Out")</f>
        <v>0</v>
      </c>
      <c r="H147" s="11" t="n">
        <f aca="false">IF($F147="","",$F147-$G147)</f>
        <v>24</v>
      </c>
      <c r="I147" s="23" t="n">
        <v>4</v>
      </c>
      <c r="J147" s="11" t="str">
        <f aca="false">IF($F147="","Not counted",IF($H147&lt;=0,"Out of stock",IF($H147&lt;$I147,"Low stock","In stock")))</f>
        <v>In stock</v>
      </c>
      <c r="K147" s="5" t="s">
        <v>175</v>
      </c>
      <c r="M147" s="26" t="n">
        <f aca="false">IF(Search!$C$4="",0,IF(ISNUMBER(SEARCH(Search!$C$4,$A147&amp;" "&amp;$B147&amp;" "&amp;$C147&amp;" "&amp;$E147)),1,0))</f>
        <v>0</v>
      </c>
      <c r="N147" s="0" t="str">
        <f aca="false">IF(M147=1,SUM($M$2:M147),"")</f>
        <v/>
      </c>
      <c r="O147" s="26" t="n">
        <f aca="false">IF(OR($J147="Out of stock",$J147="Low stock",$J147="Not counted"),1,0)</f>
        <v>0</v>
      </c>
      <c r="P147" s="0" t="str">
        <f aca="false">IF(O147=1,SUM($O$2:O147),"")</f>
        <v/>
      </c>
    </row>
    <row r="148" customFormat="false" ht="15" hidden="false" customHeight="false" outlineLevel="0" collapsed="false">
      <c r="A148" s="10" t="s">
        <v>464</v>
      </c>
      <c r="B148" s="10" t="s">
        <v>465</v>
      </c>
      <c r="C148" s="10" t="s">
        <v>50</v>
      </c>
      <c r="D148" s="10"/>
      <c r="E148" s="19" t="s">
        <v>139</v>
      </c>
      <c r="F148" s="23" t="n">
        <v>12</v>
      </c>
      <c r="G148" s="11" t="n">
        <f aca="false">SUMIFS('Issue Log'!$G$2:$G$501,'Issue Log'!$B$2:$B$501,$A148,'Issue Log'!$J$2:$J$501,"Out")</f>
        <v>0</v>
      </c>
      <c r="H148" s="11" t="n">
        <f aca="false">IF($F148="","",$F148-$G148)</f>
        <v>12</v>
      </c>
      <c r="I148" s="23" t="n">
        <v>4</v>
      </c>
      <c r="J148" s="11" t="str">
        <f aca="false">IF($F148="","Not counted",IF($H148&lt;=0,"Out of stock",IF($H148&lt;$I148,"Low stock","In stock")))</f>
        <v>In stock</v>
      </c>
      <c r="K148" s="5" t="s">
        <v>175</v>
      </c>
      <c r="M148" s="26" t="n">
        <f aca="false">IF(Search!$C$4="",0,IF(ISNUMBER(SEARCH(Search!$C$4,$A148&amp;" "&amp;$B148&amp;" "&amp;$C148&amp;" "&amp;$E148)),1,0))</f>
        <v>0</v>
      </c>
      <c r="N148" s="0" t="str">
        <f aca="false">IF(M148=1,SUM($M$2:M148),"")</f>
        <v/>
      </c>
      <c r="O148" s="26" t="n">
        <f aca="false">IF(OR($J148="Out of stock",$J148="Low stock",$J148="Not counted"),1,0)</f>
        <v>0</v>
      </c>
      <c r="P148" s="0" t="str">
        <f aca="false">IF(O148=1,SUM($O$2:O148),"")</f>
        <v/>
      </c>
    </row>
    <row r="149" customFormat="false" ht="15" hidden="false" customHeight="false" outlineLevel="0" collapsed="false">
      <c r="A149" s="10" t="s">
        <v>466</v>
      </c>
      <c r="B149" s="10" t="s">
        <v>467</v>
      </c>
      <c r="C149" s="10" t="s">
        <v>50</v>
      </c>
      <c r="D149" s="10"/>
      <c r="E149" s="19" t="s">
        <v>139</v>
      </c>
      <c r="F149" s="23" t="n">
        <v>86</v>
      </c>
      <c r="G149" s="11" t="n">
        <f aca="false">SUMIFS('Issue Log'!$G$2:$G$501,'Issue Log'!$B$2:$B$501,$A149,'Issue Log'!$J$2:$J$501,"Out")</f>
        <v>0</v>
      </c>
      <c r="H149" s="11" t="n">
        <f aca="false">IF($F149="","",$F149-$G149)</f>
        <v>86</v>
      </c>
      <c r="I149" s="23" t="n">
        <v>4</v>
      </c>
      <c r="J149" s="11" t="str">
        <f aca="false">IF($F149="","Not counted",IF($H149&lt;=0,"Out of stock",IF($H149&lt;$I149,"Low stock","In stock")))</f>
        <v>In stock</v>
      </c>
      <c r="K149" s="5" t="s">
        <v>175</v>
      </c>
      <c r="M149" s="26" t="n">
        <f aca="false">IF(Search!$C$4="",0,IF(ISNUMBER(SEARCH(Search!$C$4,$A149&amp;" "&amp;$B149&amp;" "&amp;$C149&amp;" "&amp;$E149)),1,0))</f>
        <v>0</v>
      </c>
      <c r="N149" s="0" t="str">
        <f aca="false">IF(M149=1,SUM($M$2:M149),"")</f>
        <v/>
      </c>
      <c r="O149" s="26" t="n">
        <f aca="false">IF(OR($J149="Out of stock",$J149="Low stock",$J149="Not counted"),1,0)</f>
        <v>0</v>
      </c>
      <c r="P149" s="0" t="str">
        <f aca="false">IF(O149=1,SUM($O$2:O149),"")</f>
        <v/>
      </c>
    </row>
    <row r="150" customFormat="false" ht="15" hidden="false" customHeight="false" outlineLevel="0" collapsed="false">
      <c r="A150" s="10" t="s">
        <v>468</v>
      </c>
      <c r="B150" s="10" t="s">
        <v>469</v>
      </c>
      <c r="C150" s="10" t="s">
        <v>50</v>
      </c>
      <c r="D150" s="10"/>
      <c r="E150" s="19" t="s">
        <v>139</v>
      </c>
      <c r="F150" s="23" t="n">
        <v>37</v>
      </c>
      <c r="G150" s="11" t="n">
        <f aca="false">SUMIFS('Issue Log'!$G$2:$G$501,'Issue Log'!$B$2:$B$501,$A150,'Issue Log'!$J$2:$J$501,"Out")</f>
        <v>0</v>
      </c>
      <c r="H150" s="11" t="n">
        <f aca="false">IF($F150="","",$F150-$G150)</f>
        <v>37</v>
      </c>
      <c r="I150" s="23" t="n">
        <v>4</v>
      </c>
      <c r="J150" s="11" t="str">
        <f aca="false">IF($F150="","Not counted",IF($H150&lt;=0,"Out of stock",IF($H150&lt;$I150,"Low stock","In stock")))</f>
        <v>In stock</v>
      </c>
      <c r="K150" s="5" t="s">
        <v>175</v>
      </c>
      <c r="M150" s="26" t="n">
        <f aca="false">IF(Search!$C$4="",0,IF(ISNUMBER(SEARCH(Search!$C$4,$A150&amp;" "&amp;$B150&amp;" "&amp;$C150&amp;" "&amp;$E150)),1,0))</f>
        <v>0</v>
      </c>
      <c r="N150" s="0" t="str">
        <f aca="false">IF(M150=1,SUM($M$2:M150),"")</f>
        <v/>
      </c>
      <c r="O150" s="26" t="n">
        <f aca="false">IF(OR($J150="Out of stock",$J150="Low stock",$J150="Not counted"),1,0)</f>
        <v>0</v>
      </c>
      <c r="P150" s="0" t="str">
        <f aca="false">IF(O150=1,SUM($O$2:O150),"")</f>
        <v/>
      </c>
    </row>
    <row r="151" customFormat="false" ht="15" hidden="false" customHeight="false" outlineLevel="0" collapsed="false">
      <c r="A151" s="10" t="s">
        <v>470</v>
      </c>
      <c r="B151" s="10" t="s">
        <v>471</v>
      </c>
      <c r="C151" s="10" t="s">
        <v>50</v>
      </c>
      <c r="D151" s="10"/>
      <c r="E151" s="19" t="s">
        <v>139</v>
      </c>
      <c r="F151" s="23" t="n">
        <v>34</v>
      </c>
      <c r="G151" s="11" t="n">
        <f aca="false">SUMIFS('Issue Log'!$G$2:$G$501,'Issue Log'!$B$2:$B$501,$A151,'Issue Log'!$J$2:$J$501,"Out")</f>
        <v>0</v>
      </c>
      <c r="H151" s="11" t="n">
        <f aca="false">IF($F151="","",$F151-$G151)</f>
        <v>34</v>
      </c>
      <c r="I151" s="23" t="n">
        <v>4</v>
      </c>
      <c r="J151" s="11" t="str">
        <f aca="false">IF($F151="","Not counted",IF($H151&lt;=0,"Out of stock",IF($H151&lt;$I151,"Low stock","In stock")))</f>
        <v>In stock</v>
      </c>
      <c r="K151" s="5" t="s">
        <v>175</v>
      </c>
      <c r="M151" s="26" t="n">
        <f aca="false">IF(Search!$C$4="",0,IF(ISNUMBER(SEARCH(Search!$C$4,$A151&amp;" "&amp;$B151&amp;" "&amp;$C151&amp;" "&amp;$E151)),1,0))</f>
        <v>0</v>
      </c>
      <c r="N151" s="0" t="str">
        <f aca="false">IF(M151=1,SUM($M$2:M151),"")</f>
        <v/>
      </c>
      <c r="O151" s="26" t="n">
        <f aca="false">IF(OR($J151="Out of stock",$J151="Low stock",$J151="Not counted"),1,0)</f>
        <v>0</v>
      </c>
      <c r="P151" s="0" t="str">
        <f aca="false">IF(O151=1,SUM($O$2:O151),"")</f>
        <v/>
      </c>
    </row>
    <row r="152" customFormat="false" ht="15" hidden="false" customHeight="false" outlineLevel="0" collapsed="false">
      <c r="A152" s="10" t="s">
        <v>472</v>
      </c>
      <c r="B152" s="10" t="s">
        <v>473</v>
      </c>
      <c r="C152" s="10" t="s">
        <v>50</v>
      </c>
      <c r="D152" s="10"/>
      <c r="E152" s="19" t="s">
        <v>139</v>
      </c>
      <c r="F152" s="23" t="n">
        <v>49</v>
      </c>
      <c r="G152" s="11" t="n">
        <f aca="false">SUMIFS('Issue Log'!$G$2:$G$501,'Issue Log'!$B$2:$B$501,$A152,'Issue Log'!$J$2:$J$501,"Out")</f>
        <v>0</v>
      </c>
      <c r="H152" s="11" t="n">
        <f aca="false">IF($F152="","",$F152-$G152)</f>
        <v>49</v>
      </c>
      <c r="I152" s="23" t="n">
        <v>4</v>
      </c>
      <c r="J152" s="11" t="str">
        <f aca="false">IF($F152="","Not counted",IF($H152&lt;=0,"Out of stock",IF($H152&lt;$I152,"Low stock","In stock")))</f>
        <v>In stock</v>
      </c>
      <c r="K152" s="5" t="s">
        <v>175</v>
      </c>
      <c r="M152" s="26" t="n">
        <f aca="false">IF(Search!$C$4="",0,IF(ISNUMBER(SEARCH(Search!$C$4,$A152&amp;" "&amp;$B152&amp;" "&amp;$C152&amp;" "&amp;$E152)),1,0))</f>
        <v>0</v>
      </c>
      <c r="N152" s="0" t="str">
        <f aca="false">IF(M152=1,SUM($M$2:M152),"")</f>
        <v/>
      </c>
      <c r="O152" s="26" t="n">
        <f aca="false">IF(OR($J152="Out of stock",$J152="Low stock",$J152="Not counted"),1,0)</f>
        <v>0</v>
      </c>
      <c r="P152" s="0" t="str">
        <f aca="false">IF(O152=1,SUM($O$2:O152),"")</f>
        <v/>
      </c>
    </row>
    <row r="153" customFormat="false" ht="15" hidden="false" customHeight="false" outlineLevel="0" collapsed="false">
      <c r="A153" s="10" t="s">
        <v>474</v>
      </c>
      <c r="B153" s="10" t="s">
        <v>475</v>
      </c>
      <c r="C153" s="10" t="s">
        <v>50</v>
      </c>
      <c r="D153" s="10"/>
      <c r="E153" s="19" t="s">
        <v>140</v>
      </c>
      <c r="F153" s="23" t="n">
        <v>41</v>
      </c>
      <c r="G153" s="11" t="n">
        <f aca="false">SUMIFS('Issue Log'!$G$2:$G$501,'Issue Log'!$B$2:$B$501,$A153,'Issue Log'!$J$2:$J$501,"Out")</f>
        <v>0</v>
      </c>
      <c r="H153" s="11" t="n">
        <f aca="false">IF($F153="","",$F153-$G153)</f>
        <v>41</v>
      </c>
      <c r="I153" s="23" t="n">
        <v>4</v>
      </c>
      <c r="J153" s="11" t="str">
        <f aca="false">IF($F153="","Not counted",IF($H153&lt;=0,"Out of stock",IF($H153&lt;$I153,"Low stock","In stock")))</f>
        <v>In stock</v>
      </c>
      <c r="K153" s="5" t="s">
        <v>175</v>
      </c>
      <c r="M153" s="26" t="n">
        <f aca="false">IF(Search!$C$4="",0,IF(ISNUMBER(SEARCH(Search!$C$4,$A153&amp;" "&amp;$B153&amp;" "&amp;$C153&amp;" "&amp;$E153)),1,0))</f>
        <v>0</v>
      </c>
      <c r="N153" s="0" t="str">
        <f aca="false">IF(M153=1,SUM($M$2:M153),"")</f>
        <v/>
      </c>
      <c r="O153" s="26" t="n">
        <f aca="false">IF(OR($J153="Out of stock",$J153="Low stock",$J153="Not counted"),1,0)</f>
        <v>0</v>
      </c>
      <c r="P153" s="0" t="str">
        <f aca="false">IF(O153=1,SUM($O$2:O153),"")</f>
        <v/>
      </c>
    </row>
    <row r="154" customFormat="false" ht="15" hidden="false" customHeight="false" outlineLevel="0" collapsed="false">
      <c r="A154" s="10" t="s">
        <v>476</v>
      </c>
      <c r="B154" s="10" t="s">
        <v>477</v>
      </c>
      <c r="C154" s="10" t="s">
        <v>50</v>
      </c>
      <c r="D154" s="10"/>
      <c r="E154" s="19" t="s">
        <v>140</v>
      </c>
      <c r="F154" s="23" t="n">
        <v>5</v>
      </c>
      <c r="G154" s="11" t="n">
        <f aca="false">SUMIFS('Issue Log'!$G$2:$G$501,'Issue Log'!$B$2:$B$501,$A154,'Issue Log'!$J$2:$J$501,"Out")</f>
        <v>0</v>
      </c>
      <c r="H154" s="11" t="n">
        <f aca="false">IF($F154="","",$F154-$G154)</f>
        <v>5</v>
      </c>
      <c r="I154" s="23" t="n">
        <v>4</v>
      </c>
      <c r="J154" s="11" t="str">
        <f aca="false">IF($F154="","Not counted",IF($H154&lt;=0,"Out of stock",IF($H154&lt;$I154,"Low stock","In stock")))</f>
        <v>In stock</v>
      </c>
      <c r="K154" s="5" t="s">
        <v>175</v>
      </c>
      <c r="M154" s="26" t="n">
        <f aca="false">IF(Search!$C$4="",0,IF(ISNUMBER(SEARCH(Search!$C$4,$A154&amp;" "&amp;$B154&amp;" "&amp;$C154&amp;" "&amp;$E154)),1,0))</f>
        <v>0</v>
      </c>
      <c r="N154" s="0" t="str">
        <f aca="false">IF(M154=1,SUM($M$2:M154),"")</f>
        <v/>
      </c>
      <c r="O154" s="26" t="n">
        <f aca="false">IF(OR($J154="Out of stock",$J154="Low stock",$J154="Not counted"),1,0)</f>
        <v>0</v>
      </c>
      <c r="P154" s="0" t="str">
        <f aca="false">IF(O154=1,SUM($O$2:O154),"")</f>
        <v/>
      </c>
    </row>
    <row r="155" customFormat="false" ht="15" hidden="false" customHeight="false" outlineLevel="0" collapsed="false">
      <c r="A155" s="10" t="s">
        <v>478</v>
      </c>
      <c r="B155" s="10" t="s">
        <v>479</v>
      </c>
      <c r="C155" s="10" t="s">
        <v>50</v>
      </c>
      <c r="D155" s="10"/>
      <c r="E155" s="19" t="s">
        <v>140</v>
      </c>
      <c r="F155" s="23" t="n">
        <v>4</v>
      </c>
      <c r="G155" s="11" t="n">
        <f aca="false">SUMIFS('Issue Log'!$G$2:$G$501,'Issue Log'!$B$2:$B$501,$A155,'Issue Log'!$J$2:$J$501,"Out")</f>
        <v>0</v>
      </c>
      <c r="H155" s="11" t="n">
        <f aca="false">IF($F155="","",$F155-$G155)</f>
        <v>4</v>
      </c>
      <c r="I155" s="23" t="n">
        <v>4</v>
      </c>
      <c r="J155" s="11" t="str">
        <f aca="false">IF($F155="","Not counted",IF($H155&lt;=0,"Out of stock",IF($H155&lt;$I155,"Low stock","In stock")))</f>
        <v>In stock</v>
      </c>
      <c r="K155" s="5" t="s">
        <v>175</v>
      </c>
      <c r="M155" s="26" t="n">
        <f aca="false">IF(Search!$C$4="",0,IF(ISNUMBER(SEARCH(Search!$C$4,$A155&amp;" "&amp;$B155&amp;" "&amp;$C155&amp;" "&amp;$E155)),1,0))</f>
        <v>0</v>
      </c>
      <c r="N155" s="0" t="str">
        <f aca="false">IF(M155=1,SUM($M$2:M155),"")</f>
        <v/>
      </c>
      <c r="O155" s="26" t="n">
        <f aca="false">IF(OR($J155="Out of stock",$J155="Low stock",$J155="Not counted"),1,0)</f>
        <v>0</v>
      </c>
      <c r="P155" s="0" t="str">
        <f aca="false">IF(O155=1,SUM($O$2:O155),"")</f>
        <v/>
      </c>
    </row>
    <row r="156" customFormat="false" ht="15" hidden="false" customHeight="false" outlineLevel="0" collapsed="false">
      <c r="A156" s="10" t="s">
        <v>480</v>
      </c>
      <c r="B156" s="10" t="s">
        <v>481</v>
      </c>
      <c r="C156" s="10" t="s">
        <v>50</v>
      </c>
      <c r="D156" s="10"/>
      <c r="E156" s="19" t="s">
        <v>140</v>
      </c>
      <c r="F156" s="23" t="n">
        <v>2</v>
      </c>
      <c r="G156" s="11" t="n">
        <f aca="false">SUMIFS('Issue Log'!$G$2:$G$501,'Issue Log'!$B$2:$B$501,$A156,'Issue Log'!$J$2:$J$501,"Out")</f>
        <v>0</v>
      </c>
      <c r="H156" s="11" t="n">
        <f aca="false">IF($F156="","",$F156-$G156)</f>
        <v>2</v>
      </c>
      <c r="I156" s="23" t="n">
        <v>4</v>
      </c>
      <c r="J156" s="11" t="str">
        <f aca="false">IF($F156="","Not counted",IF($H156&lt;=0,"Out of stock",IF($H156&lt;$I156,"Low stock","In stock")))</f>
        <v>Low stock</v>
      </c>
      <c r="K156" s="5" t="s">
        <v>175</v>
      </c>
      <c r="M156" s="26" t="n">
        <f aca="false">IF(Search!$C$4="",0,IF(ISNUMBER(SEARCH(Search!$C$4,$A156&amp;" "&amp;$B156&amp;" "&amp;$C156&amp;" "&amp;$E156)),1,0))</f>
        <v>0</v>
      </c>
      <c r="N156" s="0" t="str">
        <f aca="false">IF(M156=1,SUM($M$2:M156),"")</f>
        <v/>
      </c>
      <c r="O156" s="26" t="n">
        <f aca="false">IF(OR($J156="Out of stock",$J156="Low stock",$J156="Not counted"),1,0)</f>
        <v>1</v>
      </c>
      <c r="P156" s="26" t="n">
        <f aca="false">IF(O156=1,SUM($O$2:O156),"")</f>
        <v>21</v>
      </c>
    </row>
    <row r="157" customFormat="false" ht="15" hidden="false" customHeight="false" outlineLevel="0" collapsed="false">
      <c r="A157" s="10" t="s">
        <v>482</v>
      </c>
      <c r="B157" s="10" t="s">
        <v>483</v>
      </c>
      <c r="C157" s="10" t="s">
        <v>50</v>
      </c>
      <c r="D157" s="10"/>
      <c r="E157" s="19" t="s">
        <v>140</v>
      </c>
      <c r="F157" s="23" t="n">
        <v>3</v>
      </c>
      <c r="G157" s="11" t="n">
        <f aca="false">SUMIFS('Issue Log'!$G$2:$G$501,'Issue Log'!$B$2:$B$501,$A157,'Issue Log'!$J$2:$J$501,"Out")</f>
        <v>0</v>
      </c>
      <c r="H157" s="11" t="n">
        <f aca="false">IF($F157="","",$F157-$G157)</f>
        <v>3</v>
      </c>
      <c r="I157" s="23" t="n">
        <v>4</v>
      </c>
      <c r="J157" s="11" t="str">
        <f aca="false">IF($F157="","Not counted",IF($H157&lt;=0,"Out of stock",IF($H157&lt;$I157,"Low stock","In stock")))</f>
        <v>Low stock</v>
      </c>
      <c r="K157" s="5" t="s">
        <v>175</v>
      </c>
      <c r="M157" s="26" t="n">
        <f aca="false">IF(Search!$C$4="",0,IF(ISNUMBER(SEARCH(Search!$C$4,$A157&amp;" "&amp;$B157&amp;" "&amp;$C157&amp;" "&amp;$E157)),1,0))</f>
        <v>0</v>
      </c>
      <c r="N157" s="0" t="str">
        <f aca="false">IF(M157=1,SUM($M$2:M157),"")</f>
        <v/>
      </c>
      <c r="O157" s="26" t="n">
        <f aca="false">IF(OR($J157="Out of stock",$J157="Low stock",$J157="Not counted"),1,0)</f>
        <v>1</v>
      </c>
      <c r="P157" s="26" t="n">
        <f aca="false">IF(O157=1,SUM($O$2:O157),"")</f>
        <v>22</v>
      </c>
    </row>
    <row r="158" customFormat="false" ht="15" hidden="false" customHeight="false" outlineLevel="0" collapsed="false">
      <c r="A158" s="10" t="s">
        <v>484</v>
      </c>
      <c r="B158" s="10" t="s">
        <v>485</v>
      </c>
      <c r="C158" s="10" t="s">
        <v>50</v>
      </c>
      <c r="D158" s="10"/>
      <c r="E158" s="19" t="s">
        <v>140</v>
      </c>
      <c r="F158" s="23" t="n">
        <v>2</v>
      </c>
      <c r="G158" s="11" t="n">
        <f aca="false">SUMIFS('Issue Log'!$G$2:$G$501,'Issue Log'!$B$2:$B$501,$A158,'Issue Log'!$J$2:$J$501,"Out")</f>
        <v>0</v>
      </c>
      <c r="H158" s="11" t="n">
        <f aca="false">IF($F158="","",$F158-$G158)</f>
        <v>2</v>
      </c>
      <c r="I158" s="23" t="n">
        <v>4</v>
      </c>
      <c r="J158" s="11" t="str">
        <f aca="false">IF($F158="","Not counted",IF($H158&lt;=0,"Out of stock",IF($H158&lt;$I158,"Low stock","In stock")))</f>
        <v>Low stock</v>
      </c>
      <c r="K158" s="5" t="s">
        <v>175</v>
      </c>
      <c r="M158" s="26" t="n">
        <f aca="false">IF(Search!$C$4="",0,IF(ISNUMBER(SEARCH(Search!$C$4,$A158&amp;" "&amp;$B158&amp;" "&amp;$C158&amp;" "&amp;$E158)),1,0))</f>
        <v>0</v>
      </c>
      <c r="N158" s="0" t="str">
        <f aca="false">IF(M158=1,SUM($M$2:M158),"")</f>
        <v/>
      </c>
      <c r="O158" s="26" t="n">
        <f aca="false">IF(OR($J158="Out of stock",$J158="Low stock",$J158="Not counted"),1,0)</f>
        <v>1</v>
      </c>
      <c r="P158" s="26" t="n">
        <f aca="false">IF(O158=1,SUM($O$2:O158),"")</f>
        <v>23</v>
      </c>
    </row>
    <row r="159" customFormat="false" ht="15" hidden="false" customHeight="false" outlineLevel="0" collapsed="false">
      <c r="A159" s="10" t="s">
        <v>486</v>
      </c>
      <c r="B159" s="10" t="s">
        <v>487</v>
      </c>
      <c r="C159" s="10" t="s">
        <v>50</v>
      </c>
      <c r="D159" s="10"/>
      <c r="E159" s="19" t="s">
        <v>140</v>
      </c>
      <c r="F159" s="23" t="n">
        <v>2</v>
      </c>
      <c r="G159" s="11" t="n">
        <f aca="false">SUMIFS('Issue Log'!$G$2:$G$501,'Issue Log'!$B$2:$B$501,$A159,'Issue Log'!$J$2:$J$501,"Out")</f>
        <v>0</v>
      </c>
      <c r="H159" s="11" t="n">
        <f aca="false">IF($F159="","",$F159-$G159)</f>
        <v>2</v>
      </c>
      <c r="I159" s="23" t="n">
        <v>4</v>
      </c>
      <c r="J159" s="11" t="str">
        <f aca="false">IF($F159="","Not counted",IF($H159&lt;=0,"Out of stock",IF($H159&lt;$I159,"Low stock","In stock")))</f>
        <v>Low stock</v>
      </c>
      <c r="K159" s="5" t="s">
        <v>175</v>
      </c>
      <c r="M159" s="26" t="n">
        <f aca="false">IF(Search!$C$4="",0,IF(ISNUMBER(SEARCH(Search!$C$4,$A159&amp;" "&amp;$B159&amp;" "&amp;$C159&amp;" "&amp;$E159)),1,0))</f>
        <v>0</v>
      </c>
      <c r="N159" s="0" t="str">
        <f aca="false">IF(M159=1,SUM($M$2:M159),"")</f>
        <v/>
      </c>
      <c r="O159" s="26" t="n">
        <f aca="false">IF(OR($J159="Out of stock",$J159="Low stock",$J159="Not counted"),1,0)</f>
        <v>1</v>
      </c>
      <c r="P159" s="26" t="n">
        <f aca="false">IF(O159=1,SUM($O$2:O159),"")</f>
        <v>24</v>
      </c>
    </row>
    <row r="160" customFormat="false" ht="15" hidden="false" customHeight="false" outlineLevel="0" collapsed="false">
      <c r="A160" s="10" t="s">
        <v>488</v>
      </c>
      <c r="B160" s="10" t="s">
        <v>489</v>
      </c>
      <c r="C160" s="10" t="s">
        <v>50</v>
      </c>
      <c r="D160" s="10"/>
      <c r="E160" s="19" t="s">
        <v>140</v>
      </c>
      <c r="F160" s="23" t="n">
        <v>3</v>
      </c>
      <c r="G160" s="11" t="n">
        <f aca="false">SUMIFS('Issue Log'!$G$2:$G$501,'Issue Log'!$B$2:$B$501,$A160,'Issue Log'!$J$2:$J$501,"Out")</f>
        <v>0</v>
      </c>
      <c r="H160" s="11" t="n">
        <f aca="false">IF($F160="","",$F160-$G160)</f>
        <v>3</v>
      </c>
      <c r="I160" s="23" t="n">
        <v>4</v>
      </c>
      <c r="J160" s="11" t="str">
        <f aca="false">IF($F160="","Not counted",IF($H160&lt;=0,"Out of stock",IF($H160&lt;$I160,"Low stock","In stock")))</f>
        <v>Low stock</v>
      </c>
      <c r="K160" s="5" t="s">
        <v>175</v>
      </c>
      <c r="M160" s="26" t="n">
        <f aca="false">IF(Search!$C$4="",0,IF(ISNUMBER(SEARCH(Search!$C$4,$A160&amp;" "&amp;$B160&amp;" "&amp;$C160&amp;" "&amp;$E160)),1,0))</f>
        <v>0</v>
      </c>
      <c r="N160" s="0" t="str">
        <f aca="false">IF(M160=1,SUM($M$2:M160),"")</f>
        <v/>
      </c>
      <c r="O160" s="26" t="n">
        <f aca="false">IF(OR($J160="Out of stock",$J160="Low stock",$J160="Not counted"),1,0)</f>
        <v>1</v>
      </c>
      <c r="P160" s="26" t="n">
        <f aca="false">IF(O160=1,SUM($O$2:O160),"")</f>
        <v>25</v>
      </c>
    </row>
    <row r="161" customFormat="false" ht="15" hidden="false" customHeight="false" outlineLevel="0" collapsed="false">
      <c r="A161" s="10" t="s">
        <v>490</v>
      </c>
      <c r="B161" s="10" t="s">
        <v>491</v>
      </c>
      <c r="C161" s="10" t="s">
        <v>50</v>
      </c>
      <c r="D161" s="10"/>
      <c r="E161" s="19" t="s">
        <v>140</v>
      </c>
      <c r="F161" s="23" t="n">
        <v>1</v>
      </c>
      <c r="G161" s="11" t="n">
        <f aca="false">SUMIFS('Issue Log'!$G$2:$G$501,'Issue Log'!$B$2:$B$501,$A161,'Issue Log'!$J$2:$J$501,"Out")</f>
        <v>0</v>
      </c>
      <c r="H161" s="11" t="n">
        <f aca="false">IF($F161="","",$F161-$G161)</f>
        <v>1</v>
      </c>
      <c r="I161" s="23" t="n">
        <v>4</v>
      </c>
      <c r="J161" s="11" t="str">
        <f aca="false">IF($F161="","Not counted",IF($H161&lt;=0,"Out of stock",IF($H161&lt;$I161,"Low stock","In stock")))</f>
        <v>Low stock</v>
      </c>
      <c r="K161" s="5" t="s">
        <v>175</v>
      </c>
      <c r="M161" s="26" t="n">
        <f aca="false">IF(Search!$C$4="",0,IF(ISNUMBER(SEARCH(Search!$C$4,$A161&amp;" "&amp;$B161&amp;" "&amp;$C161&amp;" "&amp;$E161)),1,0))</f>
        <v>0</v>
      </c>
      <c r="N161" s="0" t="str">
        <f aca="false">IF(M161=1,SUM($M$2:M161),"")</f>
        <v/>
      </c>
      <c r="O161" s="26" t="n">
        <f aca="false">IF(OR($J161="Out of stock",$J161="Low stock",$J161="Not counted"),1,0)</f>
        <v>1</v>
      </c>
      <c r="P161" s="26" t="n">
        <f aca="false">IF(O161=1,SUM($O$2:O161),"")</f>
        <v>26</v>
      </c>
    </row>
    <row r="162" customFormat="false" ht="15" hidden="false" customHeight="false" outlineLevel="0" collapsed="false">
      <c r="A162" s="10" t="s">
        <v>492</v>
      </c>
      <c r="B162" s="10" t="s">
        <v>493</v>
      </c>
      <c r="C162" s="10" t="s">
        <v>50</v>
      </c>
      <c r="D162" s="10"/>
      <c r="E162" s="19" t="s">
        <v>140</v>
      </c>
      <c r="F162" s="23" t="n">
        <v>1</v>
      </c>
      <c r="G162" s="11" t="n">
        <f aca="false">SUMIFS('Issue Log'!$G$2:$G$501,'Issue Log'!$B$2:$B$501,$A162,'Issue Log'!$J$2:$J$501,"Out")</f>
        <v>0</v>
      </c>
      <c r="H162" s="11" t="n">
        <f aca="false">IF($F162="","",$F162-$G162)</f>
        <v>1</v>
      </c>
      <c r="I162" s="23" t="n">
        <v>4</v>
      </c>
      <c r="J162" s="11" t="str">
        <f aca="false">IF($F162="","Not counted",IF($H162&lt;=0,"Out of stock",IF($H162&lt;$I162,"Low stock","In stock")))</f>
        <v>Low stock</v>
      </c>
      <c r="K162" s="5" t="s">
        <v>175</v>
      </c>
      <c r="M162" s="26" t="n">
        <f aca="false">IF(Search!$C$4="",0,IF(ISNUMBER(SEARCH(Search!$C$4,$A162&amp;" "&amp;$B162&amp;" "&amp;$C162&amp;" "&amp;$E162)),1,0))</f>
        <v>0</v>
      </c>
      <c r="N162" s="0" t="str">
        <f aca="false">IF(M162=1,SUM($M$2:M162),"")</f>
        <v/>
      </c>
      <c r="O162" s="26" t="n">
        <f aca="false">IF(OR($J162="Out of stock",$J162="Low stock",$J162="Not counted"),1,0)</f>
        <v>1</v>
      </c>
      <c r="P162" s="26" t="n">
        <f aca="false">IF(O162=1,SUM($O$2:O162),"")</f>
        <v>27</v>
      </c>
    </row>
    <row r="163" customFormat="false" ht="15" hidden="false" customHeight="false" outlineLevel="0" collapsed="false">
      <c r="A163" s="10" t="s">
        <v>494</v>
      </c>
      <c r="B163" s="10" t="s">
        <v>495</v>
      </c>
      <c r="C163" s="10" t="s">
        <v>50</v>
      </c>
      <c r="D163" s="10"/>
      <c r="E163" s="19" t="s">
        <v>140</v>
      </c>
      <c r="F163" s="23" t="n">
        <v>2</v>
      </c>
      <c r="G163" s="11" t="n">
        <f aca="false">SUMIFS('Issue Log'!$G$2:$G$501,'Issue Log'!$B$2:$B$501,$A163,'Issue Log'!$J$2:$J$501,"Out")</f>
        <v>0</v>
      </c>
      <c r="H163" s="11" t="n">
        <f aca="false">IF($F163="","",$F163-$G163)</f>
        <v>2</v>
      </c>
      <c r="I163" s="23" t="n">
        <v>4</v>
      </c>
      <c r="J163" s="11" t="str">
        <f aca="false">IF($F163="","Not counted",IF($H163&lt;=0,"Out of stock",IF($H163&lt;$I163,"Low stock","In stock")))</f>
        <v>Low stock</v>
      </c>
      <c r="K163" s="5" t="s">
        <v>175</v>
      </c>
      <c r="M163" s="26" t="n">
        <f aca="false">IF(Search!$C$4="",0,IF(ISNUMBER(SEARCH(Search!$C$4,$A163&amp;" "&amp;$B163&amp;" "&amp;$C163&amp;" "&amp;$E163)),1,0))</f>
        <v>0</v>
      </c>
      <c r="N163" s="0" t="str">
        <f aca="false">IF(M163=1,SUM($M$2:M163),"")</f>
        <v/>
      </c>
      <c r="O163" s="26" t="n">
        <f aca="false">IF(OR($J163="Out of stock",$J163="Low stock",$J163="Not counted"),1,0)</f>
        <v>1</v>
      </c>
      <c r="P163" s="26" t="n">
        <f aca="false">IF(O163=1,SUM($O$2:O163),"")</f>
        <v>28</v>
      </c>
    </row>
    <row r="164" customFormat="false" ht="15" hidden="false" customHeight="false" outlineLevel="0" collapsed="false">
      <c r="A164" s="10" t="s">
        <v>496</v>
      </c>
      <c r="B164" s="10" t="s">
        <v>497</v>
      </c>
      <c r="C164" s="10" t="s">
        <v>50</v>
      </c>
      <c r="D164" s="10"/>
      <c r="E164" s="19" t="s">
        <v>140</v>
      </c>
      <c r="F164" s="23" t="n">
        <v>1</v>
      </c>
      <c r="G164" s="11" t="n">
        <f aca="false">SUMIFS('Issue Log'!$G$2:$G$501,'Issue Log'!$B$2:$B$501,$A164,'Issue Log'!$J$2:$J$501,"Out")</f>
        <v>0</v>
      </c>
      <c r="H164" s="11" t="n">
        <f aca="false">IF($F164="","",$F164-$G164)</f>
        <v>1</v>
      </c>
      <c r="I164" s="23" t="n">
        <v>4</v>
      </c>
      <c r="J164" s="11" t="str">
        <f aca="false">IF($F164="","Not counted",IF($H164&lt;=0,"Out of stock",IF($H164&lt;$I164,"Low stock","In stock")))</f>
        <v>Low stock</v>
      </c>
      <c r="K164" s="5" t="s">
        <v>175</v>
      </c>
      <c r="M164" s="26" t="n">
        <f aca="false">IF(Search!$C$4="",0,IF(ISNUMBER(SEARCH(Search!$C$4,$A164&amp;" "&amp;$B164&amp;" "&amp;$C164&amp;" "&amp;$E164)),1,0))</f>
        <v>0</v>
      </c>
      <c r="N164" s="0" t="str">
        <f aca="false">IF(M164=1,SUM($M$2:M164),"")</f>
        <v/>
      </c>
      <c r="O164" s="26" t="n">
        <f aca="false">IF(OR($J164="Out of stock",$J164="Low stock",$J164="Not counted"),1,0)</f>
        <v>1</v>
      </c>
      <c r="P164" s="26" t="n">
        <f aca="false">IF(O164=1,SUM($O$2:O164),"")</f>
        <v>29</v>
      </c>
    </row>
    <row r="165" customFormat="false" ht="15" hidden="false" customHeight="false" outlineLevel="0" collapsed="false">
      <c r="A165" s="10" t="s">
        <v>498</v>
      </c>
      <c r="B165" s="10" t="s">
        <v>499</v>
      </c>
      <c r="C165" s="10" t="s">
        <v>50</v>
      </c>
      <c r="D165" s="10"/>
      <c r="E165" s="19" t="s">
        <v>140</v>
      </c>
      <c r="F165" s="23" t="n">
        <v>1</v>
      </c>
      <c r="G165" s="11" t="n">
        <f aca="false">SUMIFS('Issue Log'!$G$2:$G$501,'Issue Log'!$B$2:$B$501,$A165,'Issue Log'!$J$2:$J$501,"Out")</f>
        <v>0</v>
      </c>
      <c r="H165" s="11" t="n">
        <f aca="false">IF($F165="","",$F165-$G165)</f>
        <v>1</v>
      </c>
      <c r="I165" s="23" t="n">
        <v>4</v>
      </c>
      <c r="J165" s="11" t="str">
        <f aca="false">IF($F165="","Not counted",IF($H165&lt;=0,"Out of stock",IF($H165&lt;$I165,"Low stock","In stock")))</f>
        <v>Low stock</v>
      </c>
      <c r="K165" s="5" t="s">
        <v>175</v>
      </c>
      <c r="M165" s="26" t="n">
        <f aca="false">IF(Search!$C$4="",0,IF(ISNUMBER(SEARCH(Search!$C$4,$A165&amp;" "&amp;$B165&amp;" "&amp;$C165&amp;" "&amp;$E165)),1,0))</f>
        <v>0</v>
      </c>
      <c r="N165" s="0" t="str">
        <f aca="false">IF(M165=1,SUM($M$2:M165),"")</f>
        <v/>
      </c>
      <c r="O165" s="26" t="n">
        <f aca="false">IF(OR($J165="Out of stock",$J165="Low stock",$J165="Not counted"),1,0)</f>
        <v>1</v>
      </c>
      <c r="P165" s="26" t="n">
        <f aca="false">IF(O165=1,SUM($O$2:O165),"")</f>
        <v>30</v>
      </c>
    </row>
    <row r="166" customFormat="false" ht="15" hidden="false" customHeight="false" outlineLevel="0" collapsed="false">
      <c r="A166" s="10" t="s">
        <v>500</v>
      </c>
      <c r="B166" s="10" t="s">
        <v>501</v>
      </c>
      <c r="C166" s="10" t="s">
        <v>50</v>
      </c>
      <c r="D166" s="10"/>
      <c r="E166" s="19" t="s">
        <v>140</v>
      </c>
      <c r="F166" s="23" t="n">
        <v>1</v>
      </c>
      <c r="G166" s="11" t="n">
        <f aca="false">SUMIFS('Issue Log'!$G$2:$G$501,'Issue Log'!$B$2:$B$501,$A166,'Issue Log'!$J$2:$J$501,"Out")</f>
        <v>0</v>
      </c>
      <c r="H166" s="11" t="n">
        <f aca="false">IF($F166="","",$F166-$G166)</f>
        <v>1</v>
      </c>
      <c r="I166" s="23" t="n">
        <v>4</v>
      </c>
      <c r="J166" s="11" t="str">
        <f aca="false">IF($F166="","Not counted",IF($H166&lt;=0,"Out of stock",IF($H166&lt;$I166,"Low stock","In stock")))</f>
        <v>Low stock</v>
      </c>
      <c r="K166" s="5" t="s">
        <v>175</v>
      </c>
      <c r="M166" s="26" t="n">
        <f aca="false">IF(Search!$C$4="",0,IF(ISNUMBER(SEARCH(Search!$C$4,$A166&amp;" "&amp;$B166&amp;" "&amp;$C166&amp;" "&amp;$E166)),1,0))</f>
        <v>0</v>
      </c>
      <c r="N166" s="0" t="str">
        <f aca="false">IF(M166=1,SUM($M$2:M166),"")</f>
        <v/>
      </c>
      <c r="O166" s="26" t="n">
        <f aca="false">IF(OR($J166="Out of stock",$J166="Low stock",$J166="Not counted"),1,0)</f>
        <v>1</v>
      </c>
      <c r="P166" s="26" t="n">
        <f aca="false">IF(O166=1,SUM($O$2:O166),"")</f>
        <v>31</v>
      </c>
    </row>
    <row r="167" customFormat="false" ht="15" hidden="false" customHeight="false" outlineLevel="0" collapsed="false">
      <c r="A167" s="10" t="s">
        <v>502</v>
      </c>
      <c r="B167" s="10" t="s">
        <v>503</v>
      </c>
      <c r="C167" s="10" t="s">
        <v>50</v>
      </c>
      <c r="D167" s="10"/>
      <c r="E167" s="19" t="s">
        <v>140</v>
      </c>
      <c r="F167" s="23" t="n">
        <v>7</v>
      </c>
      <c r="G167" s="11" t="n">
        <f aca="false">SUMIFS('Issue Log'!$G$2:$G$501,'Issue Log'!$B$2:$B$501,$A167,'Issue Log'!$J$2:$J$501,"Out")</f>
        <v>0</v>
      </c>
      <c r="H167" s="11" t="n">
        <f aca="false">IF($F167="","",$F167-$G167)</f>
        <v>7</v>
      </c>
      <c r="I167" s="23" t="n">
        <v>4</v>
      </c>
      <c r="J167" s="11" t="str">
        <f aca="false">IF($F167="","Not counted",IF($H167&lt;=0,"Out of stock",IF($H167&lt;$I167,"Low stock","In stock")))</f>
        <v>In stock</v>
      </c>
      <c r="K167" s="5" t="s">
        <v>175</v>
      </c>
      <c r="M167" s="26" t="n">
        <f aca="false">IF(Search!$C$4="",0,IF(ISNUMBER(SEARCH(Search!$C$4,$A167&amp;" "&amp;$B167&amp;" "&amp;$C167&amp;" "&amp;$E167)),1,0))</f>
        <v>0</v>
      </c>
      <c r="N167" s="0" t="str">
        <f aca="false">IF(M167=1,SUM($M$2:M167),"")</f>
        <v/>
      </c>
      <c r="O167" s="26" t="n">
        <f aca="false">IF(OR($J167="Out of stock",$J167="Low stock",$J167="Not counted"),1,0)</f>
        <v>0</v>
      </c>
      <c r="P167" s="0" t="str">
        <f aca="false">IF(O167=1,SUM($O$2:O167),"")</f>
        <v/>
      </c>
    </row>
    <row r="168" customFormat="false" ht="15" hidden="false" customHeight="false" outlineLevel="0" collapsed="false">
      <c r="A168" s="10" t="s">
        <v>504</v>
      </c>
      <c r="B168" s="10" t="s">
        <v>505</v>
      </c>
      <c r="C168" s="10" t="s">
        <v>50</v>
      </c>
      <c r="D168" s="10"/>
      <c r="E168" s="19" t="s">
        <v>141</v>
      </c>
      <c r="F168" s="23" t="n">
        <v>5</v>
      </c>
      <c r="G168" s="11" t="n">
        <f aca="false">SUMIFS('Issue Log'!$G$2:$G$501,'Issue Log'!$B$2:$B$501,$A168,'Issue Log'!$J$2:$J$501,"Out")</f>
        <v>0</v>
      </c>
      <c r="H168" s="11" t="n">
        <f aca="false">IF($F168="","",$F168-$G168)</f>
        <v>5</v>
      </c>
      <c r="I168" s="23" t="n">
        <v>4</v>
      </c>
      <c r="J168" s="11" t="str">
        <f aca="false">IF($F168="","Not counted",IF($H168&lt;=0,"Out of stock",IF($H168&lt;$I168,"Low stock","In stock")))</f>
        <v>In stock</v>
      </c>
      <c r="K168" s="5" t="s">
        <v>175</v>
      </c>
      <c r="M168" s="26" t="n">
        <f aca="false">IF(Search!$C$4="",0,IF(ISNUMBER(SEARCH(Search!$C$4,$A168&amp;" "&amp;$B168&amp;" "&amp;$C168&amp;" "&amp;$E168)),1,0))</f>
        <v>0</v>
      </c>
      <c r="N168" s="0" t="str">
        <f aca="false">IF(M168=1,SUM($M$2:M168),"")</f>
        <v/>
      </c>
      <c r="O168" s="26" t="n">
        <f aca="false">IF(OR($J168="Out of stock",$J168="Low stock",$J168="Not counted"),1,0)</f>
        <v>0</v>
      </c>
      <c r="P168" s="0" t="str">
        <f aca="false">IF(O168=1,SUM($O$2:O168),"")</f>
        <v/>
      </c>
    </row>
    <row r="169" customFormat="false" ht="15" hidden="false" customHeight="false" outlineLevel="0" collapsed="false">
      <c r="A169" s="10" t="s">
        <v>506</v>
      </c>
      <c r="B169" s="10" t="s">
        <v>507</v>
      </c>
      <c r="C169" s="10" t="s">
        <v>50</v>
      </c>
      <c r="D169" s="10"/>
      <c r="E169" s="19" t="s">
        <v>141</v>
      </c>
      <c r="F169" s="23" t="n">
        <v>2</v>
      </c>
      <c r="G169" s="11" t="n">
        <f aca="false">SUMIFS('Issue Log'!$G$2:$G$501,'Issue Log'!$B$2:$B$501,$A169,'Issue Log'!$J$2:$J$501,"Out")</f>
        <v>0</v>
      </c>
      <c r="H169" s="11" t="n">
        <f aca="false">IF($F169="","",$F169-$G169)</f>
        <v>2</v>
      </c>
      <c r="I169" s="23" t="n">
        <v>4</v>
      </c>
      <c r="J169" s="11" t="str">
        <f aca="false">IF($F169="","Not counted",IF($H169&lt;=0,"Out of stock",IF($H169&lt;$I169,"Low stock","In stock")))</f>
        <v>Low stock</v>
      </c>
      <c r="K169" s="5" t="s">
        <v>175</v>
      </c>
      <c r="M169" s="26" t="n">
        <f aca="false">IF(Search!$C$4="",0,IF(ISNUMBER(SEARCH(Search!$C$4,$A169&amp;" "&amp;$B169&amp;" "&amp;$C169&amp;" "&amp;$E169)),1,0))</f>
        <v>0</v>
      </c>
      <c r="N169" s="0" t="str">
        <f aca="false">IF(M169=1,SUM($M$2:M169),"")</f>
        <v/>
      </c>
      <c r="O169" s="26" t="n">
        <f aca="false">IF(OR($J169="Out of stock",$J169="Low stock",$J169="Not counted"),1,0)</f>
        <v>1</v>
      </c>
      <c r="P169" s="26" t="n">
        <f aca="false">IF(O169=1,SUM($O$2:O169),"")</f>
        <v>32</v>
      </c>
    </row>
    <row r="170" customFormat="false" ht="15" hidden="false" customHeight="false" outlineLevel="0" collapsed="false">
      <c r="A170" s="10" t="s">
        <v>508</v>
      </c>
      <c r="B170" s="10" t="s">
        <v>509</v>
      </c>
      <c r="C170" s="10" t="s">
        <v>50</v>
      </c>
      <c r="D170" s="10"/>
      <c r="E170" s="19" t="s">
        <v>141</v>
      </c>
      <c r="F170" s="23" t="n">
        <v>2</v>
      </c>
      <c r="G170" s="11" t="n">
        <f aca="false">SUMIFS('Issue Log'!$G$2:$G$501,'Issue Log'!$B$2:$B$501,$A170,'Issue Log'!$J$2:$J$501,"Out")</f>
        <v>0</v>
      </c>
      <c r="H170" s="11" t="n">
        <f aca="false">IF($F170="","",$F170-$G170)</f>
        <v>2</v>
      </c>
      <c r="I170" s="23" t="n">
        <v>4</v>
      </c>
      <c r="J170" s="11" t="str">
        <f aca="false">IF($F170="","Not counted",IF($H170&lt;=0,"Out of stock",IF($H170&lt;$I170,"Low stock","In stock")))</f>
        <v>Low stock</v>
      </c>
      <c r="K170" s="5" t="s">
        <v>175</v>
      </c>
      <c r="M170" s="26" t="n">
        <f aca="false">IF(Search!$C$4="",0,IF(ISNUMBER(SEARCH(Search!$C$4,$A170&amp;" "&amp;$B170&amp;" "&amp;$C170&amp;" "&amp;$E170)),1,0))</f>
        <v>0</v>
      </c>
      <c r="N170" s="0" t="str">
        <f aca="false">IF(M170=1,SUM($M$2:M170),"")</f>
        <v/>
      </c>
      <c r="O170" s="26" t="n">
        <f aca="false">IF(OR($J170="Out of stock",$J170="Low stock",$J170="Not counted"),1,0)</f>
        <v>1</v>
      </c>
      <c r="P170" s="26" t="n">
        <f aca="false">IF(O170=1,SUM($O$2:O170),"")</f>
        <v>33</v>
      </c>
    </row>
    <row r="171" customFormat="false" ht="15" hidden="false" customHeight="false" outlineLevel="0" collapsed="false">
      <c r="A171" s="10" t="s">
        <v>510</v>
      </c>
      <c r="B171" s="10" t="s">
        <v>511</v>
      </c>
      <c r="C171" s="10" t="s">
        <v>50</v>
      </c>
      <c r="D171" s="10"/>
      <c r="E171" s="19" t="s">
        <v>141</v>
      </c>
      <c r="F171" s="23" t="n">
        <v>2</v>
      </c>
      <c r="G171" s="11" t="n">
        <f aca="false">SUMIFS('Issue Log'!$G$2:$G$501,'Issue Log'!$B$2:$B$501,$A171,'Issue Log'!$J$2:$J$501,"Out")</f>
        <v>0</v>
      </c>
      <c r="H171" s="11" t="n">
        <f aca="false">IF($F171="","",$F171-$G171)</f>
        <v>2</v>
      </c>
      <c r="I171" s="23" t="n">
        <v>4</v>
      </c>
      <c r="J171" s="11" t="str">
        <f aca="false">IF($F171="","Not counted",IF($H171&lt;=0,"Out of stock",IF($H171&lt;$I171,"Low stock","In stock")))</f>
        <v>Low stock</v>
      </c>
      <c r="K171" s="5" t="s">
        <v>175</v>
      </c>
      <c r="M171" s="26" t="n">
        <f aca="false">IF(Search!$C$4="",0,IF(ISNUMBER(SEARCH(Search!$C$4,$A171&amp;" "&amp;$B171&amp;" "&amp;$C171&amp;" "&amp;$E171)),1,0))</f>
        <v>0</v>
      </c>
      <c r="N171" s="0" t="str">
        <f aca="false">IF(M171=1,SUM($M$2:M171),"")</f>
        <v/>
      </c>
      <c r="O171" s="26" t="n">
        <f aca="false">IF(OR($J171="Out of stock",$J171="Low stock",$J171="Not counted"),1,0)</f>
        <v>1</v>
      </c>
      <c r="P171" s="26" t="n">
        <f aca="false">IF(O171=1,SUM($O$2:O171),"")</f>
        <v>34</v>
      </c>
    </row>
    <row r="172" customFormat="false" ht="15" hidden="false" customHeight="false" outlineLevel="0" collapsed="false">
      <c r="A172" s="10" t="s">
        <v>512</v>
      </c>
      <c r="B172" s="10" t="s">
        <v>513</v>
      </c>
      <c r="C172" s="10" t="s">
        <v>50</v>
      </c>
      <c r="D172" s="10"/>
      <c r="E172" s="19" t="s">
        <v>141</v>
      </c>
      <c r="F172" s="23" t="n">
        <v>7</v>
      </c>
      <c r="G172" s="11" t="n">
        <f aca="false">SUMIFS('Issue Log'!$G$2:$G$501,'Issue Log'!$B$2:$B$501,$A172,'Issue Log'!$J$2:$J$501,"Out")</f>
        <v>0</v>
      </c>
      <c r="H172" s="11" t="n">
        <f aca="false">IF($F172="","",$F172-$G172)</f>
        <v>7</v>
      </c>
      <c r="I172" s="23" t="n">
        <v>4</v>
      </c>
      <c r="J172" s="11" t="str">
        <f aca="false">IF($F172="","Not counted",IF($H172&lt;=0,"Out of stock",IF($H172&lt;$I172,"Low stock","In stock")))</f>
        <v>In stock</v>
      </c>
      <c r="K172" s="5" t="s">
        <v>175</v>
      </c>
      <c r="M172" s="26" t="n">
        <f aca="false">IF(Search!$C$4="",0,IF(ISNUMBER(SEARCH(Search!$C$4,$A172&amp;" "&amp;$B172&amp;" "&amp;$C172&amp;" "&amp;$E172)),1,0))</f>
        <v>0</v>
      </c>
      <c r="N172" s="0" t="str">
        <f aca="false">IF(M172=1,SUM($M$2:M172),"")</f>
        <v/>
      </c>
      <c r="O172" s="26" t="n">
        <f aca="false">IF(OR($J172="Out of stock",$J172="Low stock",$J172="Not counted"),1,0)</f>
        <v>0</v>
      </c>
      <c r="P172" s="0" t="str">
        <f aca="false">IF(O172=1,SUM($O$2:O172),"")</f>
        <v/>
      </c>
    </row>
    <row r="173" customFormat="false" ht="15" hidden="false" customHeight="false" outlineLevel="0" collapsed="false">
      <c r="A173" s="10" t="s">
        <v>514</v>
      </c>
      <c r="B173" s="10" t="s">
        <v>515</v>
      </c>
      <c r="C173" s="10" t="s">
        <v>50</v>
      </c>
      <c r="D173" s="10"/>
      <c r="E173" s="19" t="s">
        <v>141</v>
      </c>
      <c r="F173" s="23" t="n">
        <v>13</v>
      </c>
      <c r="G173" s="11" t="n">
        <f aca="false">SUMIFS('Issue Log'!$G$2:$G$501,'Issue Log'!$B$2:$B$501,$A173,'Issue Log'!$J$2:$J$501,"Out")</f>
        <v>0</v>
      </c>
      <c r="H173" s="11" t="n">
        <f aca="false">IF($F173="","",$F173-$G173)</f>
        <v>13</v>
      </c>
      <c r="I173" s="23" t="n">
        <v>4</v>
      </c>
      <c r="J173" s="11" t="str">
        <f aca="false">IF($F173="","Not counted",IF($H173&lt;=0,"Out of stock",IF($H173&lt;$I173,"Low stock","In stock")))</f>
        <v>In stock</v>
      </c>
      <c r="K173" s="5" t="s">
        <v>175</v>
      </c>
      <c r="M173" s="26" t="n">
        <f aca="false">IF(Search!$C$4="",0,IF(ISNUMBER(SEARCH(Search!$C$4,$A173&amp;" "&amp;$B173&amp;" "&amp;$C173&amp;" "&amp;$E173)),1,0))</f>
        <v>0</v>
      </c>
      <c r="N173" s="0" t="str">
        <f aca="false">IF(M173=1,SUM($M$2:M173),"")</f>
        <v/>
      </c>
      <c r="O173" s="26" t="n">
        <f aca="false">IF(OR($J173="Out of stock",$J173="Low stock",$J173="Not counted"),1,0)</f>
        <v>0</v>
      </c>
      <c r="P173" s="0" t="str">
        <f aca="false">IF(O173=1,SUM($O$2:O173),"")</f>
        <v/>
      </c>
    </row>
    <row r="174" customFormat="false" ht="15" hidden="false" customHeight="false" outlineLevel="0" collapsed="false">
      <c r="A174" s="10" t="s">
        <v>516</v>
      </c>
      <c r="B174" s="10" t="s">
        <v>517</v>
      </c>
      <c r="C174" s="10" t="s">
        <v>50</v>
      </c>
      <c r="D174" s="10"/>
      <c r="E174" s="19" t="s">
        <v>141</v>
      </c>
      <c r="F174" s="23" t="n">
        <v>22</v>
      </c>
      <c r="G174" s="11" t="n">
        <f aca="false">SUMIFS('Issue Log'!$G$2:$G$501,'Issue Log'!$B$2:$B$501,$A174,'Issue Log'!$J$2:$J$501,"Out")</f>
        <v>0</v>
      </c>
      <c r="H174" s="11" t="n">
        <f aca="false">IF($F174="","",$F174-$G174)</f>
        <v>22</v>
      </c>
      <c r="I174" s="23" t="n">
        <v>4</v>
      </c>
      <c r="J174" s="11" t="str">
        <f aca="false">IF($F174="","Not counted",IF($H174&lt;=0,"Out of stock",IF($H174&lt;$I174,"Low stock","In stock")))</f>
        <v>In stock</v>
      </c>
      <c r="K174" s="5" t="s">
        <v>175</v>
      </c>
      <c r="M174" s="26" t="n">
        <f aca="false">IF(Search!$C$4="",0,IF(ISNUMBER(SEARCH(Search!$C$4,$A174&amp;" "&amp;$B174&amp;" "&amp;$C174&amp;" "&amp;$E174)),1,0))</f>
        <v>0</v>
      </c>
      <c r="N174" s="0" t="str">
        <f aca="false">IF(M174=1,SUM($M$2:M174),"")</f>
        <v/>
      </c>
      <c r="O174" s="26" t="n">
        <f aca="false">IF(OR($J174="Out of stock",$J174="Low stock",$J174="Not counted"),1,0)</f>
        <v>0</v>
      </c>
      <c r="P174" s="0" t="str">
        <f aca="false">IF(O174=1,SUM($O$2:O174),"")</f>
        <v/>
      </c>
    </row>
    <row r="175" customFormat="false" ht="15" hidden="false" customHeight="false" outlineLevel="0" collapsed="false">
      <c r="A175" s="10" t="s">
        <v>518</v>
      </c>
      <c r="B175" s="10" t="s">
        <v>519</v>
      </c>
      <c r="C175" s="10" t="s">
        <v>50</v>
      </c>
      <c r="D175" s="10"/>
      <c r="E175" s="19" t="s">
        <v>142</v>
      </c>
      <c r="F175" s="23" t="n">
        <v>4</v>
      </c>
      <c r="G175" s="11" t="n">
        <f aca="false">SUMIFS('Issue Log'!$G$2:$G$501,'Issue Log'!$B$2:$B$501,$A175,'Issue Log'!$J$2:$J$501,"Out")</f>
        <v>0</v>
      </c>
      <c r="H175" s="11" t="n">
        <f aca="false">IF($F175="","",$F175-$G175)</f>
        <v>4</v>
      </c>
      <c r="I175" s="23" t="n">
        <v>4</v>
      </c>
      <c r="J175" s="11" t="str">
        <f aca="false">IF($F175="","Not counted",IF($H175&lt;=0,"Out of stock",IF($H175&lt;$I175,"Low stock","In stock")))</f>
        <v>In stock</v>
      </c>
      <c r="K175" s="5" t="s">
        <v>175</v>
      </c>
      <c r="M175" s="26" t="n">
        <f aca="false">IF(Search!$C$4="",0,IF(ISNUMBER(SEARCH(Search!$C$4,$A175&amp;" "&amp;$B175&amp;" "&amp;$C175&amp;" "&amp;$E175)),1,0))</f>
        <v>0</v>
      </c>
      <c r="N175" s="0" t="str">
        <f aca="false">IF(M175=1,SUM($M$2:M175),"")</f>
        <v/>
      </c>
      <c r="O175" s="26" t="n">
        <f aca="false">IF(OR($J175="Out of stock",$J175="Low stock",$J175="Not counted"),1,0)</f>
        <v>0</v>
      </c>
      <c r="P175" s="0" t="str">
        <f aca="false">IF(O175=1,SUM($O$2:O175),"")</f>
        <v/>
      </c>
    </row>
    <row r="176" customFormat="false" ht="15" hidden="false" customHeight="false" outlineLevel="0" collapsed="false">
      <c r="A176" s="10" t="s">
        <v>520</v>
      </c>
      <c r="B176" s="10" t="s">
        <v>521</v>
      </c>
      <c r="C176" s="10" t="s">
        <v>50</v>
      </c>
      <c r="D176" s="10"/>
      <c r="E176" s="19" t="s">
        <v>142</v>
      </c>
      <c r="F176" s="23" t="n">
        <v>4</v>
      </c>
      <c r="G176" s="11" t="n">
        <f aca="false">SUMIFS('Issue Log'!$G$2:$G$501,'Issue Log'!$B$2:$B$501,$A176,'Issue Log'!$J$2:$J$501,"Out")</f>
        <v>0</v>
      </c>
      <c r="H176" s="11" t="n">
        <f aca="false">IF($F176="","",$F176-$G176)</f>
        <v>4</v>
      </c>
      <c r="I176" s="23" t="n">
        <v>4</v>
      </c>
      <c r="J176" s="11" t="str">
        <f aca="false">IF($F176="","Not counted",IF($H176&lt;=0,"Out of stock",IF($H176&lt;$I176,"Low stock","In stock")))</f>
        <v>In stock</v>
      </c>
      <c r="K176" s="5" t="s">
        <v>175</v>
      </c>
      <c r="M176" s="26" t="n">
        <f aca="false">IF(Search!$C$4="",0,IF(ISNUMBER(SEARCH(Search!$C$4,$A176&amp;" "&amp;$B176&amp;" "&amp;$C176&amp;" "&amp;$E176)),1,0))</f>
        <v>0</v>
      </c>
      <c r="N176" s="0" t="str">
        <f aca="false">IF(M176=1,SUM($M$2:M176),"")</f>
        <v/>
      </c>
      <c r="O176" s="26" t="n">
        <f aca="false">IF(OR($J176="Out of stock",$J176="Low stock",$J176="Not counted"),1,0)</f>
        <v>0</v>
      </c>
      <c r="P176" s="0" t="str">
        <f aca="false">IF(O176=1,SUM($O$2:O176),"")</f>
        <v/>
      </c>
    </row>
    <row r="177" customFormat="false" ht="15" hidden="false" customHeight="false" outlineLevel="0" collapsed="false">
      <c r="A177" s="10" t="s">
        <v>522</v>
      </c>
      <c r="B177" s="10" t="s">
        <v>523</v>
      </c>
      <c r="C177" s="10" t="s">
        <v>50</v>
      </c>
      <c r="D177" s="10"/>
      <c r="E177" s="19" t="s">
        <v>142</v>
      </c>
      <c r="F177" s="23" t="n">
        <v>3</v>
      </c>
      <c r="G177" s="11" t="n">
        <f aca="false">SUMIFS('Issue Log'!$G$2:$G$501,'Issue Log'!$B$2:$B$501,$A177,'Issue Log'!$J$2:$J$501,"Out")</f>
        <v>0</v>
      </c>
      <c r="H177" s="11" t="n">
        <f aca="false">IF($F177="","",$F177-$G177)</f>
        <v>3</v>
      </c>
      <c r="I177" s="23" t="n">
        <v>4</v>
      </c>
      <c r="J177" s="11" t="str">
        <f aca="false">IF($F177="","Not counted",IF($H177&lt;=0,"Out of stock",IF($H177&lt;$I177,"Low stock","In stock")))</f>
        <v>Low stock</v>
      </c>
      <c r="K177" s="5" t="s">
        <v>175</v>
      </c>
      <c r="M177" s="26" t="n">
        <f aca="false">IF(Search!$C$4="",0,IF(ISNUMBER(SEARCH(Search!$C$4,$A177&amp;" "&amp;$B177&amp;" "&amp;$C177&amp;" "&amp;$E177)),1,0))</f>
        <v>0</v>
      </c>
      <c r="N177" s="0" t="str">
        <f aca="false">IF(M177=1,SUM($M$2:M177),"")</f>
        <v/>
      </c>
      <c r="O177" s="26" t="n">
        <f aca="false">IF(OR($J177="Out of stock",$J177="Low stock",$J177="Not counted"),1,0)</f>
        <v>1</v>
      </c>
      <c r="P177" s="26" t="n">
        <f aca="false">IF(O177=1,SUM($O$2:O177),"")</f>
        <v>35</v>
      </c>
    </row>
    <row r="178" customFormat="false" ht="15" hidden="false" customHeight="false" outlineLevel="0" collapsed="false">
      <c r="A178" s="10" t="s">
        <v>524</v>
      </c>
      <c r="B178" s="10" t="s">
        <v>525</v>
      </c>
      <c r="C178" s="10" t="s">
        <v>50</v>
      </c>
      <c r="D178" s="10"/>
      <c r="E178" s="19" t="s">
        <v>142</v>
      </c>
      <c r="F178" s="23" t="n">
        <v>8</v>
      </c>
      <c r="G178" s="11" t="n">
        <f aca="false">SUMIFS('Issue Log'!$G$2:$G$501,'Issue Log'!$B$2:$B$501,$A178,'Issue Log'!$J$2:$J$501,"Out")</f>
        <v>0</v>
      </c>
      <c r="H178" s="11" t="n">
        <f aca="false">IF($F178="","",$F178-$G178)</f>
        <v>8</v>
      </c>
      <c r="I178" s="23" t="n">
        <v>4</v>
      </c>
      <c r="J178" s="11" t="str">
        <f aca="false">IF($F178="","Not counted",IF($H178&lt;=0,"Out of stock",IF($H178&lt;$I178,"Low stock","In stock")))</f>
        <v>In stock</v>
      </c>
      <c r="K178" s="5" t="s">
        <v>175</v>
      </c>
      <c r="M178" s="26" t="n">
        <f aca="false">IF(Search!$C$4="",0,IF(ISNUMBER(SEARCH(Search!$C$4,$A178&amp;" "&amp;$B178&amp;" "&amp;$C178&amp;" "&amp;$E178)),1,0))</f>
        <v>0</v>
      </c>
      <c r="N178" s="0" t="str">
        <f aca="false">IF(M178=1,SUM($M$2:M178),"")</f>
        <v/>
      </c>
      <c r="O178" s="26" t="n">
        <f aca="false">IF(OR($J178="Out of stock",$J178="Low stock",$J178="Not counted"),1,0)</f>
        <v>0</v>
      </c>
      <c r="P178" s="0" t="str">
        <f aca="false">IF(O178=1,SUM($O$2:O178),"")</f>
        <v/>
      </c>
    </row>
    <row r="179" customFormat="false" ht="15" hidden="false" customHeight="false" outlineLevel="0" collapsed="false">
      <c r="A179" s="10" t="s">
        <v>526</v>
      </c>
      <c r="B179" s="10" t="s">
        <v>527</v>
      </c>
      <c r="C179" s="10" t="s">
        <v>50</v>
      </c>
      <c r="D179" s="10"/>
      <c r="E179" s="19" t="s">
        <v>142</v>
      </c>
      <c r="F179" s="23" t="n">
        <v>4</v>
      </c>
      <c r="G179" s="11" t="n">
        <f aca="false">SUMIFS('Issue Log'!$G$2:$G$501,'Issue Log'!$B$2:$B$501,$A179,'Issue Log'!$J$2:$J$501,"Out")</f>
        <v>0</v>
      </c>
      <c r="H179" s="11" t="n">
        <f aca="false">IF($F179="","",$F179-$G179)</f>
        <v>4</v>
      </c>
      <c r="I179" s="23" t="n">
        <v>4</v>
      </c>
      <c r="J179" s="11" t="str">
        <f aca="false">IF($F179="","Not counted",IF($H179&lt;=0,"Out of stock",IF($H179&lt;$I179,"Low stock","In stock")))</f>
        <v>In stock</v>
      </c>
      <c r="K179" s="5" t="s">
        <v>175</v>
      </c>
      <c r="M179" s="26" t="n">
        <f aca="false">IF(Search!$C$4="",0,IF(ISNUMBER(SEARCH(Search!$C$4,$A179&amp;" "&amp;$B179&amp;" "&amp;$C179&amp;" "&amp;$E179)),1,0))</f>
        <v>0</v>
      </c>
      <c r="N179" s="0" t="str">
        <f aca="false">IF(M179=1,SUM($M$2:M179),"")</f>
        <v/>
      </c>
      <c r="O179" s="26" t="n">
        <f aca="false">IF(OR($J179="Out of stock",$J179="Low stock",$J179="Not counted"),1,0)</f>
        <v>0</v>
      </c>
      <c r="P179" s="0" t="str">
        <f aca="false">IF(O179=1,SUM($O$2:O179),"")</f>
        <v/>
      </c>
    </row>
    <row r="180" customFormat="false" ht="15" hidden="false" customHeight="false" outlineLevel="0" collapsed="false">
      <c r="A180" s="10" t="s">
        <v>528</v>
      </c>
      <c r="B180" s="10" t="s">
        <v>529</v>
      </c>
      <c r="C180" s="10" t="s">
        <v>40</v>
      </c>
      <c r="D180" s="10"/>
      <c r="E180" s="19" t="s">
        <v>144</v>
      </c>
      <c r="F180" s="23"/>
      <c r="G180" s="11" t="n">
        <f aca="false">SUMIFS('Issue Log'!$G$2:$G$501,'Issue Log'!$B$2:$B$501,$A180,'Issue Log'!$J$2:$J$501,"Out")</f>
        <v>0</v>
      </c>
      <c r="H180" s="11" t="str">
        <f aca="false">IF($F180="","",$F180-$G180)</f>
        <v/>
      </c>
      <c r="I180" s="23" t="n">
        <v>4</v>
      </c>
      <c r="J180" s="11" t="str">
        <f aca="false">IF($F180="","Not counted",IF($H180&lt;=0,"Out of stock",IF($H180&lt;$I180,"Low stock","In stock")))</f>
        <v>Not counted</v>
      </c>
      <c r="K180" s="5" t="s">
        <v>175</v>
      </c>
      <c r="M180" s="26" t="n">
        <f aca="false">IF(Search!$C$4="",0,IF(ISNUMBER(SEARCH(Search!$C$4,$A180&amp;" "&amp;$B180&amp;" "&amp;$C180&amp;" "&amp;$E180)),1,0))</f>
        <v>0</v>
      </c>
      <c r="N180" s="0" t="str">
        <f aca="false">IF(M180=1,SUM($M$2:M180),"")</f>
        <v/>
      </c>
      <c r="O180" s="26" t="n">
        <f aca="false">IF(OR($J180="Out of stock",$J180="Low stock",$J180="Not counted"),1,0)</f>
        <v>1</v>
      </c>
      <c r="P180" s="26" t="n">
        <f aca="false">IF(O180=1,SUM($O$2:O180),"")</f>
        <v>36</v>
      </c>
    </row>
    <row r="181" customFormat="false" ht="15" hidden="false" customHeight="false" outlineLevel="0" collapsed="false">
      <c r="A181" s="10" t="s">
        <v>530</v>
      </c>
      <c r="B181" s="10" t="s">
        <v>531</v>
      </c>
      <c r="C181" s="10" t="s">
        <v>56</v>
      </c>
      <c r="D181" s="10"/>
      <c r="E181" s="19" t="s">
        <v>145</v>
      </c>
      <c r="F181" s="23" t="n">
        <v>5</v>
      </c>
      <c r="G181" s="11" t="n">
        <f aca="false">SUMIFS('Issue Log'!$G$2:$G$501,'Issue Log'!$B$2:$B$501,$A181,'Issue Log'!$J$2:$J$501,"Out")</f>
        <v>0</v>
      </c>
      <c r="H181" s="11" t="n">
        <f aca="false">IF($F181="","",$F181-$G181)</f>
        <v>5</v>
      </c>
      <c r="I181" s="23" t="n">
        <v>1</v>
      </c>
      <c r="J181" s="11" t="str">
        <f aca="false">IF($F181="","Not counted",IF($H181&lt;=0,"Out of stock",IF($H181&lt;$I181,"Low stock","In stock")))</f>
        <v>In stock</v>
      </c>
      <c r="K181" s="5" t="s">
        <v>175</v>
      </c>
      <c r="M181" s="26" t="n">
        <f aca="false">IF(Search!$C$4="",0,IF(ISNUMBER(SEARCH(Search!$C$4,$A181&amp;" "&amp;$B181&amp;" "&amp;$C181&amp;" "&amp;$E181)),1,0))</f>
        <v>0</v>
      </c>
      <c r="N181" s="0" t="str">
        <f aca="false">IF(M181=1,SUM($M$2:M181),"")</f>
        <v/>
      </c>
      <c r="O181" s="26" t="n">
        <f aca="false">IF(OR($J181="Out of stock",$J181="Low stock",$J181="Not counted"),1,0)</f>
        <v>0</v>
      </c>
      <c r="P181" s="0" t="str">
        <f aca="false">IF(O181=1,SUM($O$2:O181),"")</f>
        <v/>
      </c>
    </row>
    <row r="182" customFormat="false" ht="15" hidden="false" customHeight="false" outlineLevel="0" collapsed="false">
      <c r="A182" s="10" t="s">
        <v>532</v>
      </c>
      <c r="B182" s="10" t="s">
        <v>533</v>
      </c>
      <c r="C182" s="10" t="s">
        <v>56</v>
      </c>
      <c r="D182" s="10"/>
      <c r="E182" s="19" t="s">
        <v>145</v>
      </c>
      <c r="F182" s="23" t="n">
        <v>1</v>
      </c>
      <c r="G182" s="11" t="n">
        <f aca="false">SUMIFS('Issue Log'!$G$2:$G$501,'Issue Log'!$B$2:$B$501,$A182,'Issue Log'!$J$2:$J$501,"Out")</f>
        <v>0</v>
      </c>
      <c r="H182" s="11" t="n">
        <f aca="false">IF($F182="","",$F182-$G182)</f>
        <v>1</v>
      </c>
      <c r="I182" s="23" t="n">
        <v>1</v>
      </c>
      <c r="J182" s="11" t="str">
        <f aca="false">IF($F182="","Not counted",IF($H182&lt;=0,"Out of stock",IF($H182&lt;$I182,"Low stock","In stock")))</f>
        <v>In stock</v>
      </c>
      <c r="K182" s="5" t="s">
        <v>175</v>
      </c>
      <c r="M182" s="26" t="n">
        <f aca="false">IF(Search!$C$4="",0,IF(ISNUMBER(SEARCH(Search!$C$4,$A182&amp;" "&amp;$B182&amp;" "&amp;$C182&amp;" "&amp;$E182)),1,0))</f>
        <v>0</v>
      </c>
      <c r="N182" s="0" t="str">
        <f aca="false">IF(M182=1,SUM($M$2:M182),"")</f>
        <v/>
      </c>
      <c r="O182" s="26" t="n">
        <f aca="false">IF(OR($J182="Out of stock",$J182="Low stock",$J182="Not counted"),1,0)</f>
        <v>0</v>
      </c>
      <c r="P182" s="0" t="str">
        <f aca="false">IF(O182=1,SUM($O$2:O182),"")</f>
        <v/>
      </c>
    </row>
    <row r="183" customFormat="false" ht="15" hidden="false" customHeight="false" outlineLevel="0" collapsed="false">
      <c r="A183" s="10" t="s">
        <v>534</v>
      </c>
      <c r="B183" s="10" t="s">
        <v>535</v>
      </c>
      <c r="C183" s="10" t="s">
        <v>56</v>
      </c>
      <c r="D183" s="10"/>
      <c r="E183" s="19" t="s">
        <v>145</v>
      </c>
      <c r="F183" s="23" t="n">
        <v>5</v>
      </c>
      <c r="G183" s="11" t="n">
        <f aca="false">SUMIFS('Issue Log'!$G$2:$G$501,'Issue Log'!$B$2:$B$501,$A183,'Issue Log'!$J$2:$J$501,"Out")</f>
        <v>0</v>
      </c>
      <c r="H183" s="11" t="n">
        <f aca="false">IF($F183="","",$F183-$G183)</f>
        <v>5</v>
      </c>
      <c r="I183" s="23" t="n">
        <v>1</v>
      </c>
      <c r="J183" s="11" t="str">
        <f aca="false">IF($F183="","Not counted",IF($H183&lt;=0,"Out of stock",IF($H183&lt;$I183,"Low stock","In stock")))</f>
        <v>In stock</v>
      </c>
      <c r="K183" s="5" t="s">
        <v>175</v>
      </c>
      <c r="M183" s="26" t="n">
        <f aca="false">IF(Search!$C$4="",0,IF(ISNUMBER(SEARCH(Search!$C$4,$A183&amp;" "&amp;$B183&amp;" "&amp;$C183&amp;" "&amp;$E183)),1,0))</f>
        <v>0</v>
      </c>
      <c r="N183" s="0" t="str">
        <f aca="false">IF(M183=1,SUM($M$2:M183),"")</f>
        <v/>
      </c>
      <c r="O183" s="26" t="n">
        <f aca="false">IF(OR($J183="Out of stock",$J183="Low stock",$J183="Not counted"),1,0)</f>
        <v>0</v>
      </c>
      <c r="P183" s="0" t="str">
        <f aca="false">IF(O183=1,SUM($O$2:O183),"")</f>
        <v/>
      </c>
    </row>
    <row r="184" customFormat="false" ht="15" hidden="false" customHeight="false" outlineLevel="0" collapsed="false">
      <c r="A184" s="10" t="s">
        <v>536</v>
      </c>
      <c r="B184" s="10" t="s">
        <v>537</v>
      </c>
      <c r="C184" s="10" t="s">
        <v>56</v>
      </c>
      <c r="D184" s="10"/>
      <c r="E184" s="19" t="s">
        <v>146</v>
      </c>
      <c r="F184" s="23" t="n">
        <v>4</v>
      </c>
      <c r="G184" s="11" t="n">
        <f aca="false">SUMIFS('Issue Log'!$G$2:$G$501,'Issue Log'!$B$2:$B$501,$A184,'Issue Log'!$J$2:$J$501,"Out")</f>
        <v>0</v>
      </c>
      <c r="H184" s="11" t="n">
        <f aca="false">IF($F184="","",$F184-$G184)</f>
        <v>4</v>
      </c>
      <c r="I184" s="23" t="n">
        <v>1</v>
      </c>
      <c r="J184" s="11" t="str">
        <f aca="false">IF($F184="","Not counted",IF($H184&lt;=0,"Out of stock",IF($H184&lt;$I184,"Low stock","In stock")))</f>
        <v>In stock</v>
      </c>
      <c r="K184" s="5" t="s">
        <v>175</v>
      </c>
      <c r="M184" s="26" t="n">
        <f aca="false">IF(Search!$C$4="",0,IF(ISNUMBER(SEARCH(Search!$C$4,$A184&amp;" "&amp;$B184&amp;" "&amp;$C184&amp;" "&amp;$E184)),1,0))</f>
        <v>0</v>
      </c>
      <c r="N184" s="0" t="str">
        <f aca="false">IF(M184=1,SUM($M$2:M184),"")</f>
        <v/>
      </c>
      <c r="O184" s="26" t="n">
        <f aca="false">IF(OR($J184="Out of stock",$J184="Low stock",$J184="Not counted"),1,0)</f>
        <v>0</v>
      </c>
      <c r="P184" s="0" t="str">
        <f aca="false">IF(O184=1,SUM($O$2:O184),"")</f>
        <v/>
      </c>
    </row>
    <row r="185" customFormat="false" ht="15" hidden="false" customHeight="false" outlineLevel="0" collapsed="false">
      <c r="A185" s="10" t="s">
        <v>538</v>
      </c>
      <c r="B185" s="10" t="s">
        <v>539</v>
      </c>
      <c r="C185" s="10" t="s">
        <v>56</v>
      </c>
      <c r="D185" s="10"/>
      <c r="E185" s="19" t="s">
        <v>146</v>
      </c>
      <c r="F185" s="23" t="n">
        <v>7</v>
      </c>
      <c r="G185" s="11" t="n">
        <f aca="false">SUMIFS('Issue Log'!$G$2:$G$501,'Issue Log'!$B$2:$B$501,$A185,'Issue Log'!$J$2:$J$501,"Out")</f>
        <v>0</v>
      </c>
      <c r="H185" s="11" t="n">
        <f aca="false">IF($F185="","",$F185-$G185)</f>
        <v>7</v>
      </c>
      <c r="I185" s="23" t="n">
        <v>1</v>
      </c>
      <c r="J185" s="11" t="str">
        <f aca="false">IF($F185="","Not counted",IF($H185&lt;=0,"Out of stock",IF($H185&lt;$I185,"Low stock","In stock")))</f>
        <v>In stock</v>
      </c>
      <c r="K185" s="5" t="s">
        <v>175</v>
      </c>
      <c r="M185" s="26" t="n">
        <f aca="false">IF(Search!$C$4="",0,IF(ISNUMBER(SEARCH(Search!$C$4,$A185&amp;" "&amp;$B185&amp;" "&amp;$C185&amp;" "&amp;$E185)),1,0))</f>
        <v>0</v>
      </c>
      <c r="N185" s="0" t="str">
        <f aca="false">IF(M185=1,SUM($M$2:M185),"")</f>
        <v/>
      </c>
      <c r="O185" s="26" t="n">
        <f aca="false">IF(OR($J185="Out of stock",$J185="Low stock",$J185="Not counted"),1,0)</f>
        <v>0</v>
      </c>
      <c r="P185" s="0" t="str">
        <f aca="false">IF(O185=1,SUM($O$2:O185),"")</f>
        <v/>
      </c>
    </row>
    <row r="186" customFormat="false" ht="15" hidden="false" customHeight="false" outlineLevel="0" collapsed="false">
      <c r="A186" s="10" t="s">
        <v>540</v>
      </c>
      <c r="B186" s="10" t="s">
        <v>541</v>
      </c>
      <c r="C186" s="10" t="s">
        <v>53</v>
      </c>
      <c r="D186" s="10"/>
      <c r="E186" s="19" t="s">
        <v>147</v>
      </c>
      <c r="F186" s="23"/>
      <c r="G186" s="11" t="n">
        <f aca="false">SUMIFS('Issue Log'!$G$2:$G$501,'Issue Log'!$B$2:$B$501,$A186,'Issue Log'!$J$2:$J$501,"Out")</f>
        <v>0</v>
      </c>
      <c r="H186" s="11" t="str">
        <f aca="false">IF($F186="","",$F186-$G186)</f>
        <v/>
      </c>
      <c r="I186" s="23" t="n">
        <v>5</v>
      </c>
      <c r="J186" s="11" t="str">
        <f aca="false">IF($F186="","Not counted",IF($H186&lt;=0,"Out of stock",IF($H186&lt;$I186,"Low stock","In stock")))</f>
        <v>Not counted</v>
      </c>
      <c r="K186" s="5" t="s">
        <v>175</v>
      </c>
      <c r="M186" s="26" t="n">
        <f aca="false">IF(Search!$C$4="",0,IF(ISNUMBER(SEARCH(Search!$C$4,$A186&amp;" "&amp;$B186&amp;" "&amp;$C186&amp;" "&amp;$E186)),1,0))</f>
        <v>0</v>
      </c>
      <c r="N186" s="0" t="str">
        <f aca="false">IF(M186=1,SUM($M$2:M186),"")</f>
        <v/>
      </c>
      <c r="O186" s="26" t="n">
        <f aca="false">IF(OR($J186="Out of stock",$J186="Low stock",$J186="Not counted"),1,0)</f>
        <v>1</v>
      </c>
      <c r="P186" s="26" t="n">
        <f aca="false">IF(O186=1,SUM($O$2:O186),"")</f>
        <v>37</v>
      </c>
    </row>
    <row r="187" customFormat="false" ht="15" hidden="false" customHeight="false" outlineLevel="0" collapsed="false">
      <c r="A187" s="10" t="s">
        <v>542</v>
      </c>
      <c r="B187" s="10" t="s">
        <v>543</v>
      </c>
      <c r="C187" s="10" t="s">
        <v>53</v>
      </c>
      <c r="D187" s="10"/>
      <c r="E187" s="19" t="s">
        <v>148</v>
      </c>
      <c r="F187" s="23"/>
      <c r="G187" s="11" t="n">
        <f aca="false">SUMIFS('Issue Log'!$G$2:$G$501,'Issue Log'!$B$2:$B$501,$A187,'Issue Log'!$J$2:$J$501,"Out")</f>
        <v>0</v>
      </c>
      <c r="H187" s="11" t="str">
        <f aca="false">IF($F187="","",$F187-$G187)</f>
        <v/>
      </c>
      <c r="I187" s="23" t="n">
        <v>5</v>
      </c>
      <c r="J187" s="11" t="str">
        <f aca="false">IF($F187="","Not counted",IF($H187&lt;=0,"Out of stock",IF($H187&lt;$I187,"Low stock","In stock")))</f>
        <v>Not counted</v>
      </c>
      <c r="K187" s="5" t="s">
        <v>175</v>
      </c>
      <c r="M187" s="26" t="n">
        <f aca="false">IF(Search!$C$4="",0,IF(ISNUMBER(SEARCH(Search!$C$4,$A187&amp;" "&amp;$B187&amp;" "&amp;$C187&amp;" "&amp;$E187)),1,0))</f>
        <v>0</v>
      </c>
      <c r="N187" s="0" t="str">
        <f aca="false">IF(M187=1,SUM($M$2:M187),"")</f>
        <v/>
      </c>
      <c r="O187" s="26" t="n">
        <f aca="false">IF(OR($J187="Out of stock",$J187="Low stock",$J187="Not counted"),1,0)</f>
        <v>1</v>
      </c>
      <c r="P187" s="26" t="n">
        <f aca="false">IF(O187=1,SUM($O$2:O187),"")</f>
        <v>38</v>
      </c>
    </row>
    <row r="188" customFormat="false" ht="15" hidden="false" customHeight="false" outlineLevel="0" collapsed="false">
      <c r="A188" s="10" t="s">
        <v>544</v>
      </c>
      <c r="B188" s="10" t="s">
        <v>545</v>
      </c>
      <c r="C188" s="10" t="s">
        <v>53</v>
      </c>
      <c r="D188" s="10"/>
      <c r="E188" s="19" t="s">
        <v>149</v>
      </c>
      <c r="F188" s="23"/>
      <c r="G188" s="11" t="n">
        <f aca="false">SUMIFS('Issue Log'!$G$2:$G$501,'Issue Log'!$B$2:$B$501,$A188,'Issue Log'!$J$2:$J$501,"Out")</f>
        <v>0</v>
      </c>
      <c r="H188" s="11" t="str">
        <f aca="false">IF($F188="","",$F188-$G188)</f>
        <v/>
      </c>
      <c r="I188" s="23" t="n">
        <v>5</v>
      </c>
      <c r="J188" s="11" t="str">
        <f aca="false">IF($F188="","Not counted",IF($H188&lt;=0,"Out of stock",IF($H188&lt;$I188,"Low stock","In stock")))</f>
        <v>Not counted</v>
      </c>
      <c r="K188" s="5" t="s">
        <v>175</v>
      </c>
      <c r="M188" s="26" t="n">
        <f aca="false">IF(Search!$C$4="",0,IF(ISNUMBER(SEARCH(Search!$C$4,$A188&amp;" "&amp;$B188&amp;" "&amp;$C188&amp;" "&amp;$E188)),1,0))</f>
        <v>0</v>
      </c>
      <c r="N188" s="0" t="str">
        <f aca="false">IF(M188=1,SUM($M$2:M188),"")</f>
        <v/>
      </c>
      <c r="O188" s="26" t="n">
        <f aca="false">IF(OR($J188="Out of stock",$J188="Low stock",$J188="Not counted"),1,0)</f>
        <v>1</v>
      </c>
      <c r="P188" s="26" t="n">
        <f aca="false">IF(O188=1,SUM($O$2:O188),"")</f>
        <v>39</v>
      </c>
    </row>
    <row r="189" customFormat="false" ht="15" hidden="false" customHeight="false" outlineLevel="0" collapsed="false">
      <c r="A189" s="10" t="s">
        <v>546</v>
      </c>
      <c r="B189" s="10" t="s">
        <v>547</v>
      </c>
      <c r="C189" s="10" t="s">
        <v>43</v>
      </c>
      <c r="D189" s="10"/>
      <c r="E189" s="19" t="s">
        <v>150</v>
      </c>
      <c r="F189" s="23" t="n">
        <v>14</v>
      </c>
      <c r="G189" s="11" t="n">
        <f aca="false">SUMIFS('Issue Log'!$G$2:$G$501,'Issue Log'!$B$2:$B$501,$A189,'Issue Log'!$J$2:$J$501,"Out")</f>
        <v>0</v>
      </c>
      <c r="H189" s="11" t="n">
        <f aca="false">IF($F189="","",$F189-$G189)</f>
        <v>14</v>
      </c>
      <c r="I189" s="23" t="n">
        <v>1</v>
      </c>
      <c r="J189" s="11" t="str">
        <f aca="false">IF($F189="","Not counted",IF($H189&lt;=0,"Out of stock",IF($H189&lt;$I189,"Low stock","In stock")))</f>
        <v>In stock</v>
      </c>
      <c r="K189" s="5" t="s">
        <v>175</v>
      </c>
      <c r="M189" s="26" t="n">
        <f aca="false">IF(Search!$C$4="",0,IF(ISNUMBER(SEARCH(Search!$C$4,$A189&amp;" "&amp;$B189&amp;" "&amp;$C189&amp;" "&amp;$E189)),1,0))</f>
        <v>0</v>
      </c>
      <c r="N189" s="0" t="str">
        <f aca="false">IF(M189=1,SUM($M$2:M189),"")</f>
        <v/>
      </c>
      <c r="O189" s="26" t="n">
        <f aca="false">IF(OR($J189="Out of stock",$J189="Low stock",$J189="Not counted"),1,0)</f>
        <v>0</v>
      </c>
      <c r="P189" s="0" t="str">
        <f aca="false">IF(O189=1,SUM($O$2:O189),"")</f>
        <v/>
      </c>
    </row>
    <row r="190" customFormat="false" ht="15" hidden="false" customHeight="false" outlineLevel="0" collapsed="false">
      <c r="A190" s="10" t="s">
        <v>548</v>
      </c>
      <c r="B190" s="10" t="s">
        <v>549</v>
      </c>
      <c r="C190" s="10" t="s">
        <v>31</v>
      </c>
      <c r="D190" s="10"/>
      <c r="E190" s="19" t="s">
        <v>151</v>
      </c>
      <c r="F190" s="23" t="n">
        <v>10</v>
      </c>
      <c r="G190" s="11" t="n">
        <f aca="false">SUMIFS('Issue Log'!$G$2:$G$501,'Issue Log'!$B$2:$B$501,$A190,'Issue Log'!$J$2:$J$501,"Out")</f>
        <v>0</v>
      </c>
      <c r="H190" s="11" t="n">
        <f aca="false">IF($F190="","",$F190-$G190)</f>
        <v>10</v>
      </c>
      <c r="I190" s="23" t="n">
        <v>2</v>
      </c>
      <c r="J190" s="11" t="str">
        <f aca="false">IF($F190="","Not counted",IF($H190&lt;=0,"Out of stock",IF($H190&lt;$I190,"Low stock","In stock")))</f>
        <v>In stock</v>
      </c>
      <c r="K190" s="5" t="s">
        <v>175</v>
      </c>
      <c r="M190" s="26" t="n">
        <f aca="false">IF(Search!$C$4="",0,IF(ISNUMBER(SEARCH(Search!$C$4,$A190&amp;" "&amp;$B190&amp;" "&amp;$C190&amp;" "&amp;$E190)),1,0))</f>
        <v>0</v>
      </c>
      <c r="N190" s="0" t="str">
        <f aca="false">IF(M190=1,SUM($M$2:M190),"")</f>
        <v/>
      </c>
      <c r="O190" s="26" t="n">
        <f aca="false">IF(OR($J190="Out of stock",$J190="Low stock",$J190="Not counted"),1,0)</f>
        <v>0</v>
      </c>
      <c r="P190" s="0" t="str">
        <f aca="false">IF(O190=1,SUM($O$2:O190),"")</f>
        <v/>
      </c>
    </row>
    <row r="191" customFormat="false" ht="15" hidden="false" customHeight="false" outlineLevel="0" collapsed="false">
      <c r="A191" s="10" t="s">
        <v>550</v>
      </c>
      <c r="B191" s="10" t="s">
        <v>551</v>
      </c>
      <c r="C191" s="10" t="s">
        <v>31</v>
      </c>
      <c r="D191" s="10"/>
      <c r="E191" s="19" t="s">
        <v>152</v>
      </c>
      <c r="F191" s="23" t="n">
        <v>5</v>
      </c>
      <c r="G191" s="11" t="n">
        <f aca="false">SUMIFS('Issue Log'!$G$2:$G$501,'Issue Log'!$B$2:$B$501,$A191,'Issue Log'!$J$2:$J$501,"Out")</f>
        <v>0</v>
      </c>
      <c r="H191" s="11" t="n">
        <f aca="false">IF($F191="","",$F191-$G191)</f>
        <v>5</v>
      </c>
      <c r="I191" s="23" t="n">
        <v>2</v>
      </c>
      <c r="J191" s="11" t="str">
        <f aca="false">IF($F191="","Not counted",IF($H191&lt;=0,"Out of stock",IF($H191&lt;$I191,"Low stock","In stock")))</f>
        <v>In stock</v>
      </c>
      <c r="K191" s="5" t="s">
        <v>175</v>
      </c>
      <c r="M191" s="26" t="n">
        <f aca="false">IF(Search!$C$4="",0,IF(ISNUMBER(SEARCH(Search!$C$4,$A191&amp;" "&amp;$B191&amp;" "&amp;$C191&amp;" "&amp;$E191)),1,0))</f>
        <v>0</v>
      </c>
      <c r="N191" s="0" t="str">
        <f aca="false">IF(M191=1,SUM($M$2:M191),"")</f>
        <v/>
      </c>
      <c r="O191" s="26" t="n">
        <f aca="false">IF(OR($J191="Out of stock",$J191="Low stock",$J191="Not counted"),1,0)</f>
        <v>0</v>
      </c>
      <c r="P191" s="0" t="str">
        <f aca="false">IF(O191=1,SUM($O$2:O191),"")</f>
        <v/>
      </c>
    </row>
    <row r="192" customFormat="false" ht="15" hidden="false" customHeight="false" outlineLevel="0" collapsed="false">
      <c r="A192" s="10" t="s">
        <v>552</v>
      </c>
      <c r="B192" s="10" t="s">
        <v>553</v>
      </c>
      <c r="C192" s="10" t="s">
        <v>65</v>
      </c>
      <c r="D192" s="10"/>
      <c r="E192" s="19" t="s">
        <v>152</v>
      </c>
      <c r="F192" s="23" t="n">
        <v>3</v>
      </c>
      <c r="G192" s="11" t="n">
        <f aca="false">SUMIFS('Issue Log'!$G$2:$G$501,'Issue Log'!$B$2:$B$501,$A192,'Issue Log'!$J$2:$J$501,"Out")</f>
        <v>0</v>
      </c>
      <c r="H192" s="11" t="n">
        <f aca="false">IF($F192="","",$F192-$G192)</f>
        <v>3</v>
      </c>
      <c r="I192" s="23" t="n">
        <v>2</v>
      </c>
      <c r="J192" s="11" t="str">
        <f aca="false">IF($F192="","Not counted",IF($H192&lt;=0,"Out of stock",IF($H192&lt;$I192,"Low stock","In stock")))</f>
        <v>In stock</v>
      </c>
      <c r="K192" s="5" t="s">
        <v>175</v>
      </c>
      <c r="M192" s="26" t="n">
        <f aca="false">IF(Search!$C$4="",0,IF(ISNUMBER(SEARCH(Search!$C$4,$A192&amp;" "&amp;$B192&amp;" "&amp;$C192&amp;" "&amp;$E192)),1,0))</f>
        <v>0</v>
      </c>
      <c r="N192" s="0" t="str">
        <f aca="false">IF(M192=1,SUM($M$2:M192),"")</f>
        <v/>
      </c>
      <c r="O192" s="26" t="n">
        <f aca="false">IF(OR($J192="Out of stock",$J192="Low stock",$J192="Not counted"),1,0)</f>
        <v>0</v>
      </c>
      <c r="P192" s="0" t="str">
        <f aca="false">IF(O192=1,SUM($O$2:O192),"")</f>
        <v/>
      </c>
    </row>
    <row r="193" customFormat="false" ht="15" hidden="false" customHeight="false" outlineLevel="0" collapsed="false">
      <c r="A193" s="10" t="s">
        <v>554</v>
      </c>
      <c r="B193" s="10" t="s">
        <v>555</v>
      </c>
      <c r="C193" s="10" t="s">
        <v>31</v>
      </c>
      <c r="D193" s="10"/>
      <c r="E193" s="19" t="s">
        <v>153</v>
      </c>
      <c r="F193" s="23"/>
      <c r="G193" s="11" t="n">
        <f aca="false">SUMIFS('Issue Log'!$G$2:$G$501,'Issue Log'!$B$2:$B$501,$A193,'Issue Log'!$J$2:$J$501,"Out")</f>
        <v>0</v>
      </c>
      <c r="H193" s="11" t="str">
        <f aca="false">IF($F193="","",$F193-$G193)</f>
        <v/>
      </c>
      <c r="I193" s="23" t="n">
        <v>2</v>
      </c>
      <c r="J193" s="11" t="str">
        <f aca="false">IF($F193="","Not counted",IF($H193&lt;=0,"Out of stock",IF($H193&lt;$I193,"Low stock","In stock")))</f>
        <v>Not counted</v>
      </c>
      <c r="K193" s="5" t="s">
        <v>175</v>
      </c>
      <c r="M193" s="26" t="n">
        <f aca="false">IF(Search!$C$4="",0,IF(ISNUMBER(SEARCH(Search!$C$4,$A193&amp;" "&amp;$B193&amp;" "&amp;$C193&amp;" "&amp;$E193)),1,0))</f>
        <v>0</v>
      </c>
      <c r="N193" s="0" t="str">
        <f aca="false">IF(M193=1,SUM($M$2:M193),"")</f>
        <v/>
      </c>
      <c r="O193" s="26" t="n">
        <f aca="false">IF(OR($J193="Out of stock",$J193="Low stock",$J193="Not counted"),1,0)</f>
        <v>1</v>
      </c>
      <c r="P193" s="26" t="n">
        <f aca="false">IF(O193=1,SUM($O$2:O193),"")</f>
        <v>40</v>
      </c>
    </row>
    <row r="194" customFormat="false" ht="15" hidden="false" customHeight="false" outlineLevel="0" collapsed="false">
      <c r="A194" s="10" t="s">
        <v>556</v>
      </c>
      <c r="B194" s="10" t="s">
        <v>557</v>
      </c>
      <c r="C194" s="10" t="s">
        <v>60</v>
      </c>
      <c r="D194" s="10"/>
      <c r="E194" s="19" t="s">
        <v>154</v>
      </c>
      <c r="F194" s="23" t="n">
        <v>47</v>
      </c>
      <c r="G194" s="11" t="n">
        <f aca="false">SUMIFS('Issue Log'!$G$2:$G$501,'Issue Log'!$B$2:$B$501,$A194,'Issue Log'!$J$2:$J$501,"Out")</f>
        <v>0</v>
      </c>
      <c r="H194" s="11" t="n">
        <f aca="false">IF($F194="","",$F194-$G194)</f>
        <v>47</v>
      </c>
      <c r="I194" s="23" t="n">
        <v>2</v>
      </c>
      <c r="J194" s="11" t="str">
        <f aca="false">IF($F194="","Not counted",IF($H194&lt;=0,"Out of stock",IF($H194&lt;$I194,"Low stock","In stock")))</f>
        <v>In stock</v>
      </c>
      <c r="K194" s="5" t="s">
        <v>175</v>
      </c>
      <c r="M194" s="26" t="n">
        <f aca="false">IF(Search!$C$4="",0,IF(ISNUMBER(SEARCH(Search!$C$4,$A194&amp;" "&amp;$B194&amp;" "&amp;$C194&amp;" "&amp;$E194)),1,0))</f>
        <v>0</v>
      </c>
      <c r="N194" s="0" t="str">
        <f aca="false">IF(M194=1,SUM($M$2:M194),"")</f>
        <v/>
      </c>
      <c r="O194" s="26" t="n">
        <f aca="false">IF(OR($J194="Out of stock",$J194="Low stock",$J194="Not counted"),1,0)</f>
        <v>0</v>
      </c>
      <c r="P194" s="0" t="str">
        <f aca="false">IF(O194=1,SUM($O$2:O194),"")</f>
        <v/>
      </c>
    </row>
    <row r="195" customFormat="false" ht="15" hidden="false" customHeight="false" outlineLevel="0" collapsed="false">
      <c r="A195" s="10" t="s">
        <v>558</v>
      </c>
      <c r="B195" s="10" t="s">
        <v>559</v>
      </c>
      <c r="C195" s="10" t="s">
        <v>67</v>
      </c>
      <c r="D195" s="10"/>
      <c r="E195" s="19" t="s">
        <v>155</v>
      </c>
      <c r="F195" s="23" t="n">
        <v>21</v>
      </c>
      <c r="G195" s="11" t="n">
        <f aca="false">SUMIFS('Issue Log'!$G$2:$G$501,'Issue Log'!$B$2:$B$501,$A195,'Issue Log'!$J$2:$J$501,"Out")</f>
        <v>0</v>
      </c>
      <c r="H195" s="11" t="n">
        <f aca="false">IF($F195="","",$F195-$G195)</f>
        <v>21</v>
      </c>
      <c r="I195" s="23" t="n">
        <v>2</v>
      </c>
      <c r="J195" s="11" t="str">
        <f aca="false">IF($F195="","Not counted",IF($H195&lt;=0,"Out of stock",IF($H195&lt;$I195,"Low stock","In stock")))</f>
        <v>In stock</v>
      </c>
      <c r="K195" s="5" t="s">
        <v>175</v>
      </c>
      <c r="M195" s="26" t="n">
        <f aca="false">IF(Search!$C$4="",0,IF(ISNUMBER(SEARCH(Search!$C$4,$A195&amp;" "&amp;$B195&amp;" "&amp;$C195&amp;" "&amp;$E195)),1,0))</f>
        <v>0</v>
      </c>
      <c r="N195" s="0" t="str">
        <f aca="false">IF(M195=1,SUM($M$2:M195),"")</f>
        <v/>
      </c>
      <c r="O195" s="26" t="n">
        <f aca="false">IF(OR($J195="Out of stock",$J195="Low stock",$J195="Not counted"),1,0)</f>
        <v>0</v>
      </c>
      <c r="P195" s="0" t="str">
        <f aca="false">IF(O195=1,SUM($O$2:O195),"")</f>
        <v/>
      </c>
    </row>
    <row r="196" customFormat="false" ht="15" hidden="false" customHeight="false" outlineLevel="0" collapsed="false">
      <c r="A196" s="10" t="s">
        <v>560</v>
      </c>
      <c r="B196" s="10" t="s">
        <v>561</v>
      </c>
      <c r="C196" s="10" t="s">
        <v>67</v>
      </c>
      <c r="D196" s="10"/>
      <c r="E196" s="19" t="s">
        <v>155</v>
      </c>
      <c r="F196" s="23" t="n">
        <v>4</v>
      </c>
      <c r="G196" s="11" t="n">
        <f aca="false">SUMIFS('Issue Log'!$G$2:$G$501,'Issue Log'!$B$2:$B$501,$A196,'Issue Log'!$J$2:$J$501,"Out")</f>
        <v>0</v>
      </c>
      <c r="H196" s="11" t="n">
        <f aca="false">IF($F196="","",$F196-$G196)</f>
        <v>4</v>
      </c>
      <c r="I196" s="23" t="n">
        <v>2</v>
      </c>
      <c r="J196" s="11" t="str">
        <f aca="false">IF($F196="","Not counted",IF($H196&lt;=0,"Out of stock",IF($H196&lt;$I196,"Low stock","In stock")))</f>
        <v>In stock</v>
      </c>
      <c r="K196" s="5" t="s">
        <v>175</v>
      </c>
      <c r="M196" s="26" t="n">
        <f aca="false">IF(Search!$C$4="",0,IF(ISNUMBER(SEARCH(Search!$C$4,$A196&amp;" "&amp;$B196&amp;" "&amp;$C196&amp;" "&amp;$E196)),1,0))</f>
        <v>0</v>
      </c>
      <c r="N196" s="0" t="str">
        <f aca="false">IF(M196=1,SUM($M$2:M196),"")</f>
        <v/>
      </c>
      <c r="O196" s="26" t="n">
        <f aca="false">IF(OR($J196="Out of stock",$J196="Low stock",$J196="Not counted"),1,0)</f>
        <v>0</v>
      </c>
      <c r="P196" s="0" t="str">
        <f aca="false">IF(O196=1,SUM($O$2:O196),"")</f>
        <v/>
      </c>
    </row>
    <row r="197" customFormat="false" ht="15" hidden="false" customHeight="false" outlineLevel="0" collapsed="false">
      <c r="A197" s="10" t="s">
        <v>562</v>
      </c>
      <c r="B197" s="10" t="s">
        <v>563</v>
      </c>
      <c r="C197" s="10" t="s">
        <v>67</v>
      </c>
      <c r="D197" s="10"/>
      <c r="E197" s="19" t="s">
        <v>155</v>
      </c>
      <c r="F197" s="23" t="n">
        <v>4</v>
      </c>
      <c r="G197" s="11" t="n">
        <f aca="false">SUMIFS('Issue Log'!$G$2:$G$501,'Issue Log'!$B$2:$B$501,$A197,'Issue Log'!$J$2:$J$501,"Out")</f>
        <v>0</v>
      </c>
      <c r="H197" s="11" t="n">
        <f aca="false">IF($F197="","",$F197-$G197)</f>
        <v>4</v>
      </c>
      <c r="I197" s="23" t="n">
        <v>2</v>
      </c>
      <c r="J197" s="11" t="str">
        <f aca="false">IF($F197="","Not counted",IF($H197&lt;=0,"Out of stock",IF($H197&lt;$I197,"Low stock","In stock")))</f>
        <v>In stock</v>
      </c>
      <c r="K197" s="5" t="s">
        <v>175</v>
      </c>
      <c r="M197" s="26" t="n">
        <f aca="false">IF(Search!$C$4="",0,IF(ISNUMBER(SEARCH(Search!$C$4,$A197&amp;" "&amp;$B197&amp;" "&amp;$C197&amp;" "&amp;$E197)),1,0))</f>
        <v>0</v>
      </c>
      <c r="N197" s="0" t="str">
        <f aca="false">IF(M197=1,SUM($M$2:M197),"")</f>
        <v/>
      </c>
      <c r="O197" s="26" t="n">
        <f aca="false">IF(OR($J197="Out of stock",$J197="Low stock",$J197="Not counted"),1,0)</f>
        <v>0</v>
      </c>
      <c r="P197" s="0" t="str">
        <f aca="false">IF(O197=1,SUM($O$2:O197),"")</f>
        <v/>
      </c>
    </row>
    <row r="198" customFormat="false" ht="15" hidden="false" customHeight="false" outlineLevel="0" collapsed="false">
      <c r="A198" s="10" t="s">
        <v>564</v>
      </c>
      <c r="B198" s="10" t="s">
        <v>565</v>
      </c>
      <c r="C198" s="10" t="s">
        <v>31</v>
      </c>
      <c r="D198" s="10"/>
      <c r="E198" s="19" t="s">
        <v>157</v>
      </c>
      <c r="F198" s="23" t="n">
        <v>18</v>
      </c>
      <c r="G198" s="11" t="n">
        <f aca="false">SUMIFS('Issue Log'!$G$2:$G$501,'Issue Log'!$B$2:$B$501,$A198,'Issue Log'!$J$2:$J$501,"Out")</f>
        <v>0</v>
      </c>
      <c r="H198" s="11" t="n">
        <f aca="false">IF($F198="","",$F198-$G198)</f>
        <v>18</v>
      </c>
      <c r="I198" s="23" t="n">
        <v>2</v>
      </c>
      <c r="J198" s="11" t="str">
        <f aca="false">IF($F198="","Not counted",IF($H198&lt;=0,"Out of stock",IF($H198&lt;$I198,"Low stock","In stock")))</f>
        <v>In stock</v>
      </c>
      <c r="K198" s="5" t="s">
        <v>175</v>
      </c>
      <c r="M198" s="26" t="n">
        <f aca="false">IF(Search!$C$4="",0,IF(ISNUMBER(SEARCH(Search!$C$4,$A198&amp;" "&amp;$B198&amp;" "&amp;$C198&amp;" "&amp;$E198)),1,0))</f>
        <v>0</v>
      </c>
      <c r="N198" s="0" t="str">
        <f aca="false">IF(M198=1,SUM($M$2:M198),"")</f>
        <v/>
      </c>
      <c r="O198" s="26" t="n">
        <f aca="false">IF(OR($J198="Out of stock",$J198="Low stock",$J198="Not counted"),1,0)</f>
        <v>0</v>
      </c>
      <c r="P198" s="0" t="str">
        <f aca="false">IF(O198=1,SUM($O$2:O198),"")</f>
        <v/>
      </c>
    </row>
    <row r="199" customFormat="false" ht="15" hidden="false" customHeight="false" outlineLevel="0" collapsed="false">
      <c r="A199" s="10" t="s">
        <v>566</v>
      </c>
      <c r="B199" s="10" t="s">
        <v>567</v>
      </c>
      <c r="C199" s="10" t="s">
        <v>31</v>
      </c>
      <c r="D199" s="10"/>
      <c r="E199" s="19" t="s">
        <v>157</v>
      </c>
      <c r="F199" s="23" t="n">
        <v>1</v>
      </c>
      <c r="G199" s="11" t="n">
        <f aca="false">SUMIFS('Issue Log'!$G$2:$G$501,'Issue Log'!$B$2:$B$501,$A199,'Issue Log'!$J$2:$J$501,"Out")</f>
        <v>0</v>
      </c>
      <c r="H199" s="11" t="n">
        <f aca="false">IF($F199="","",$F199-$G199)</f>
        <v>1</v>
      </c>
      <c r="I199" s="23" t="n">
        <v>2</v>
      </c>
      <c r="J199" s="11" t="str">
        <f aca="false">IF($F199="","Not counted",IF($H199&lt;=0,"Out of stock",IF($H199&lt;$I199,"Low stock","In stock")))</f>
        <v>Low stock</v>
      </c>
      <c r="K199" s="5" t="s">
        <v>175</v>
      </c>
      <c r="M199" s="26" t="n">
        <f aca="false">IF(Search!$C$4="",0,IF(ISNUMBER(SEARCH(Search!$C$4,$A199&amp;" "&amp;$B199&amp;" "&amp;$C199&amp;" "&amp;$E199)),1,0))</f>
        <v>0</v>
      </c>
      <c r="N199" s="0" t="str">
        <f aca="false">IF(M199=1,SUM($M$2:M199),"")</f>
        <v/>
      </c>
      <c r="O199" s="26" t="n">
        <f aca="false">IF(OR($J199="Out of stock",$J199="Low stock",$J199="Not counted"),1,0)</f>
        <v>1</v>
      </c>
      <c r="P199" s="26" t="n">
        <f aca="false">IF(O199=1,SUM($O$2:O199),"")</f>
        <v>41</v>
      </c>
    </row>
    <row r="200" customFormat="false" ht="15" hidden="false" customHeight="false" outlineLevel="0" collapsed="false">
      <c r="A200" s="10" t="s">
        <v>568</v>
      </c>
      <c r="B200" s="10" t="s">
        <v>569</v>
      </c>
      <c r="C200" s="10" t="s">
        <v>31</v>
      </c>
      <c r="D200" s="10"/>
      <c r="E200" s="19" t="s">
        <v>157</v>
      </c>
      <c r="F200" s="23" t="n">
        <v>3</v>
      </c>
      <c r="G200" s="11" t="n">
        <f aca="false">SUMIFS('Issue Log'!$G$2:$G$501,'Issue Log'!$B$2:$B$501,$A200,'Issue Log'!$J$2:$J$501,"Out")</f>
        <v>0</v>
      </c>
      <c r="H200" s="11" t="n">
        <f aca="false">IF($F200="","",$F200-$G200)</f>
        <v>3</v>
      </c>
      <c r="I200" s="23" t="n">
        <v>2</v>
      </c>
      <c r="J200" s="11" t="str">
        <f aca="false">IF($F200="","Not counted",IF($H200&lt;=0,"Out of stock",IF($H200&lt;$I200,"Low stock","In stock")))</f>
        <v>In stock</v>
      </c>
      <c r="K200" s="5" t="s">
        <v>175</v>
      </c>
      <c r="M200" s="26" t="n">
        <f aca="false">IF(Search!$C$4="",0,IF(ISNUMBER(SEARCH(Search!$C$4,$A200&amp;" "&amp;$B200&amp;" "&amp;$C200&amp;" "&amp;$E200)),1,0))</f>
        <v>0</v>
      </c>
      <c r="N200" s="0" t="str">
        <f aca="false">IF(M200=1,SUM($M$2:M200),"")</f>
        <v/>
      </c>
      <c r="O200" s="26" t="n">
        <f aca="false">IF(OR($J200="Out of stock",$J200="Low stock",$J200="Not counted"),1,0)</f>
        <v>0</v>
      </c>
      <c r="P200" s="0" t="str">
        <f aca="false">IF(O200=1,SUM($O$2:O200),"")</f>
        <v/>
      </c>
    </row>
    <row r="201" customFormat="false" ht="15" hidden="false" customHeight="false" outlineLevel="0" collapsed="false">
      <c r="A201" s="10" t="s">
        <v>570</v>
      </c>
      <c r="B201" s="10" t="s">
        <v>571</v>
      </c>
      <c r="C201" s="10" t="s">
        <v>40</v>
      </c>
      <c r="D201" s="10"/>
      <c r="E201" s="19" t="s">
        <v>158</v>
      </c>
      <c r="F201" s="23"/>
      <c r="G201" s="11" t="n">
        <f aca="false">SUMIFS('Issue Log'!$G$2:$G$501,'Issue Log'!$B$2:$B$501,$A201,'Issue Log'!$J$2:$J$501,"Out")</f>
        <v>0</v>
      </c>
      <c r="H201" s="11" t="str">
        <f aca="false">IF($F201="","",$F201-$G201)</f>
        <v/>
      </c>
      <c r="I201" s="23" t="n">
        <v>4</v>
      </c>
      <c r="J201" s="11" t="str">
        <f aca="false">IF($F201="","Not counted",IF($H201&lt;=0,"Out of stock",IF($H201&lt;$I201,"Low stock","In stock")))</f>
        <v>Not counted</v>
      </c>
      <c r="K201" s="5" t="s">
        <v>175</v>
      </c>
      <c r="M201" s="26" t="n">
        <f aca="false">IF(Search!$C$4="",0,IF(ISNUMBER(SEARCH(Search!$C$4,$A201&amp;" "&amp;$B201&amp;" "&amp;$C201&amp;" "&amp;$E201)),1,0))</f>
        <v>0</v>
      </c>
      <c r="N201" s="0" t="str">
        <f aca="false">IF(M201=1,SUM($M$2:M201),"")</f>
        <v/>
      </c>
      <c r="O201" s="26" t="n">
        <f aca="false">IF(OR($J201="Out of stock",$J201="Low stock",$J201="Not counted"),1,0)</f>
        <v>1</v>
      </c>
      <c r="P201" s="26" t="n">
        <f aca="false">IF(O201=1,SUM($O$2:O201),"")</f>
        <v>42</v>
      </c>
    </row>
    <row r="202" customFormat="false" ht="15" hidden="false" customHeight="false" outlineLevel="0" collapsed="false">
      <c r="A202" s="10" t="s">
        <v>572</v>
      </c>
      <c r="B202" s="10" t="s">
        <v>549</v>
      </c>
      <c r="C202" s="10" t="s">
        <v>31</v>
      </c>
      <c r="D202" s="10"/>
      <c r="E202" s="19" t="s">
        <v>159</v>
      </c>
      <c r="F202" s="23" t="n">
        <v>5</v>
      </c>
      <c r="G202" s="11" t="n">
        <f aca="false">SUMIFS('Issue Log'!$G$2:$G$501,'Issue Log'!$B$2:$B$501,$A202,'Issue Log'!$J$2:$J$501,"Out")</f>
        <v>0</v>
      </c>
      <c r="H202" s="11" t="n">
        <f aca="false">IF($F202="","",$F202-$G202)</f>
        <v>5</v>
      </c>
      <c r="I202" s="23" t="n">
        <v>2</v>
      </c>
      <c r="J202" s="11" t="str">
        <f aca="false">IF($F202="","Not counted",IF($H202&lt;=0,"Out of stock",IF($H202&lt;$I202,"Low stock","In stock")))</f>
        <v>In stock</v>
      </c>
      <c r="K202" s="5" t="s">
        <v>175</v>
      </c>
      <c r="M202" s="26" t="n">
        <f aca="false">IF(Search!$C$4="",0,IF(ISNUMBER(SEARCH(Search!$C$4,$A202&amp;" "&amp;$B202&amp;" "&amp;$C202&amp;" "&amp;$E202)),1,0))</f>
        <v>0</v>
      </c>
      <c r="N202" s="0" t="str">
        <f aca="false">IF(M202=1,SUM($M$2:M202),"")</f>
        <v/>
      </c>
      <c r="O202" s="26" t="n">
        <f aca="false">IF(OR($J202="Out of stock",$J202="Low stock",$J202="Not counted"),1,0)</f>
        <v>0</v>
      </c>
      <c r="P202" s="0" t="str">
        <f aca="false">IF(O202=1,SUM($O$2:O202),"")</f>
        <v/>
      </c>
    </row>
    <row r="203" customFormat="false" ht="15" hidden="false" customHeight="false" outlineLevel="0" collapsed="false">
      <c r="A203" s="10" t="s">
        <v>573</v>
      </c>
      <c r="B203" s="10" t="s">
        <v>574</v>
      </c>
      <c r="C203" s="10" t="s">
        <v>60</v>
      </c>
      <c r="D203" s="10"/>
      <c r="E203" s="19" t="s">
        <v>160</v>
      </c>
      <c r="F203" s="23" t="n">
        <v>5</v>
      </c>
      <c r="G203" s="11" t="n">
        <f aca="false">SUMIFS('Issue Log'!$G$2:$G$501,'Issue Log'!$B$2:$B$501,$A203,'Issue Log'!$J$2:$J$501,"Out")</f>
        <v>0</v>
      </c>
      <c r="H203" s="11" t="n">
        <f aca="false">IF($F203="","",$F203-$G203)</f>
        <v>5</v>
      </c>
      <c r="I203" s="23" t="n">
        <v>2</v>
      </c>
      <c r="J203" s="11" t="str">
        <f aca="false">IF($F203="","Not counted",IF($H203&lt;=0,"Out of stock",IF($H203&lt;$I203,"Low stock","In stock")))</f>
        <v>In stock</v>
      </c>
      <c r="K203" s="5" t="s">
        <v>175</v>
      </c>
      <c r="M203" s="26" t="n">
        <f aca="false">IF(Search!$C$4="",0,IF(ISNUMBER(SEARCH(Search!$C$4,$A203&amp;" "&amp;$B203&amp;" "&amp;$C203&amp;" "&amp;$E203)),1,0))</f>
        <v>0</v>
      </c>
      <c r="N203" s="0" t="str">
        <f aca="false">IF(M203=1,SUM($M$2:M203),"")</f>
        <v/>
      </c>
      <c r="O203" s="26" t="n">
        <f aca="false">IF(OR($J203="Out of stock",$J203="Low stock",$J203="Not counted"),1,0)</f>
        <v>0</v>
      </c>
      <c r="P203" s="0" t="str">
        <f aca="false">IF(O203=1,SUM($O$2:O203),"")</f>
        <v/>
      </c>
    </row>
    <row r="204" customFormat="false" ht="15" hidden="false" customHeight="false" outlineLevel="0" collapsed="false">
      <c r="A204" s="10" t="s">
        <v>575</v>
      </c>
      <c r="B204" s="10" t="s">
        <v>576</v>
      </c>
      <c r="C204" s="10" t="s">
        <v>65</v>
      </c>
      <c r="D204" s="10"/>
      <c r="E204" s="19" t="s">
        <v>115</v>
      </c>
      <c r="F204" s="23" t="n">
        <v>2</v>
      </c>
      <c r="G204" s="11" t="n">
        <f aca="false">SUMIFS('Issue Log'!$G$2:$G$501,'Issue Log'!$B$2:$B$501,$A204,'Issue Log'!$J$2:$J$501,"Out")</f>
        <v>0</v>
      </c>
      <c r="H204" s="11" t="n">
        <f aca="false">IF($F204="","",$F204-$G204)</f>
        <v>2</v>
      </c>
      <c r="I204" s="23" t="n">
        <v>2</v>
      </c>
      <c r="J204" s="11" t="str">
        <f aca="false">IF($F204="","Not counted",IF($H204&lt;=0,"Out of stock",IF($H204&lt;$I204,"Low stock","In stock")))</f>
        <v>In stock</v>
      </c>
      <c r="K204" s="5" t="s">
        <v>175</v>
      </c>
      <c r="M204" s="26" t="n">
        <f aca="false">IF(Search!$C$4="",0,IF(ISNUMBER(SEARCH(Search!$C$4,$A204&amp;" "&amp;$B204&amp;" "&amp;$C204&amp;" "&amp;$E204)),1,0))</f>
        <v>0</v>
      </c>
      <c r="N204" s="0" t="str">
        <f aca="false">IF(M204=1,SUM($M$2:M204),"")</f>
        <v/>
      </c>
      <c r="O204" s="26" t="n">
        <f aca="false">IF(OR($J204="Out of stock",$J204="Low stock",$J204="Not counted"),1,0)</f>
        <v>0</v>
      </c>
      <c r="P204" s="0" t="str">
        <f aca="false">IF(O204=1,SUM($O$2:O204),"")</f>
        <v/>
      </c>
    </row>
    <row r="205" customFormat="false" ht="15" hidden="false" customHeight="false" outlineLevel="0" collapsed="false">
      <c r="A205" s="10" t="s">
        <v>577</v>
      </c>
      <c r="B205" s="10" t="s">
        <v>578</v>
      </c>
      <c r="C205" s="10" t="s">
        <v>65</v>
      </c>
      <c r="D205" s="10"/>
      <c r="E205" s="19" t="s">
        <v>115</v>
      </c>
      <c r="F205" s="23" t="n">
        <v>8</v>
      </c>
      <c r="G205" s="11" t="n">
        <f aca="false">SUMIFS('Issue Log'!$G$2:$G$501,'Issue Log'!$B$2:$B$501,$A205,'Issue Log'!$J$2:$J$501,"Out")</f>
        <v>0</v>
      </c>
      <c r="H205" s="11" t="n">
        <f aca="false">IF($F205="","",$F205-$G205)</f>
        <v>8</v>
      </c>
      <c r="I205" s="23" t="n">
        <v>2</v>
      </c>
      <c r="J205" s="11" t="str">
        <f aca="false">IF($F205="","Not counted",IF($H205&lt;=0,"Out of stock",IF($H205&lt;$I205,"Low stock","In stock")))</f>
        <v>In stock</v>
      </c>
      <c r="K205" s="5" t="s">
        <v>175</v>
      </c>
      <c r="M205" s="26" t="n">
        <f aca="false">IF(Search!$C$4="",0,IF(ISNUMBER(SEARCH(Search!$C$4,$A205&amp;" "&amp;$B205&amp;" "&amp;$C205&amp;" "&amp;$E205)),1,0))</f>
        <v>0</v>
      </c>
      <c r="N205" s="0" t="str">
        <f aca="false">IF(M205=1,SUM($M$2:M205),"")</f>
        <v/>
      </c>
      <c r="O205" s="26" t="n">
        <f aca="false">IF(OR($J205="Out of stock",$J205="Low stock",$J205="Not counted"),1,0)</f>
        <v>0</v>
      </c>
      <c r="P205" s="0" t="str">
        <f aca="false">IF(O205=1,SUM($O$2:O205),"")</f>
        <v/>
      </c>
    </row>
    <row r="206" customFormat="false" ht="15" hidden="false" customHeight="false" outlineLevel="0" collapsed="false">
      <c r="A206" s="10" t="s">
        <v>579</v>
      </c>
      <c r="B206" s="10" t="s">
        <v>580</v>
      </c>
      <c r="C206" s="10" t="s">
        <v>65</v>
      </c>
      <c r="D206" s="10"/>
      <c r="E206" s="19" t="s">
        <v>115</v>
      </c>
      <c r="F206" s="23" t="n">
        <v>9</v>
      </c>
      <c r="G206" s="11" t="n">
        <f aca="false">SUMIFS('Issue Log'!$G$2:$G$501,'Issue Log'!$B$2:$B$501,$A206,'Issue Log'!$J$2:$J$501,"Out")</f>
        <v>0</v>
      </c>
      <c r="H206" s="11" t="n">
        <f aca="false">IF($F206="","",$F206-$G206)</f>
        <v>9</v>
      </c>
      <c r="I206" s="23" t="n">
        <v>2</v>
      </c>
      <c r="J206" s="11" t="str">
        <f aca="false">IF($F206="","Not counted",IF($H206&lt;=0,"Out of stock",IF($H206&lt;$I206,"Low stock","In stock")))</f>
        <v>In stock</v>
      </c>
      <c r="K206" s="5" t="s">
        <v>175</v>
      </c>
      <c r="M206" s="26" t="n">
        <f aca="false">IF(Search!$C$4="",0,IF(ISNUMBER(SEARCH(Search!$C$4,$A206&amp;" "&amp;$B206&amp;" "&amp;$C206&amp;" "&amp;$E206)),1,0))</f>
        <v>0</v>
      </c>
      <c r="N206" s="0" t="str">
        <f aca="false">IF(M206=1,SUM($M$2:M206),"")</f>
        <v/>
      </c>
      <c r="O206" s="26" t="n">
        <f aca="false">IF(OR($J206="Out of stock",$J206="Low stock",$J206="Not counted"),1,0)</f>
        <v>0</v>
      </c>
      <c r="P206" s="0" t="str">
        <f aca="false">IF(O206=1,SUM($O$2:O206),"")</f>
        <v/>
      </c>
    </row>
    <row r="207" customFormat="false" ht="15" hidden="false" customHeight="false" outlineLevel="0" collapsed="false">
      <c r="A207" s="10" t="s">
        <v>581</v>
      </c>
      <c r="B207" s="10" t="s">
        <v>582</v>
      </c>
      <c r="C207" s="10" t="s">
        <v>65</v>
      </c>
      <c r="D207" s="10"/>
      <c r="E207" s="19" t="s">
        <v>115</v>
      </c>
      <c r="F207" s="23" t="n">
        <v>1</v>
      </c>
      <c r="G207" s="11" t="n">
        <f aca="false">SUMIFS('Issue Log'!$G$2:$G$501,'Issue Log'!$B$2:$B$501,$A207,'Issue Log'!$J$2:$J$501,"Out")</f>
        <v>0</v>
      </c>
      <c r="H207" s="11" t="n">
        <f aca="false">IF($F207="","",$F207-$G207)</f>
        <v>1</v>
      </c>
      <c r="I207" s="23" t="n">
        <v>2</v>
      </c>
      <c r="J207" s="11" t="str">
        <f aca="false">IF($F207="","Not counted",IF($H207&lt;=0,"Out of stock",IF($H207&lt;$I207,"Low stock","In stock")))</f>
        <v>Low stock</v>
      </c>
      <c r="K207" s="5" t="s">
        <v>175</v>
      </c>
      <c r="M207" s="26" t="n">
        <f aca="false">IF(Search!$C$4="",0,IF(ISNUMBER(SEARCH(Search!$C$4,$A207&amp;" "&amp;$B207&amp;" "&amp;$C207&amp;" "&amp;$E207)),1,0))</f>
        <v>0</v>
      </c>
      <c r="N207" s="0" t="str">
        <f aca="false">IF(M207=1,SUM($M$2:M207),"")</f>
        <v/>
      </c>
      <c r="O207" s="26" t="n">
        <f aca="false">IF(OR($J207="Out of stock",$J207="Low stock",$J207="Not counted"),1,0)</f>
        <v>1</v>
      </c>
      <c r="P207" s="26" t="n">
        <f aca="false">IF(O207=1,SUM($O$2:O207),"")</f>
        <v>43</v>
      </c>
    </row>
    <row r="208" customFormat="false" ht="15" hidden="false" customHeight="false" outlineLevel="0" collapsed="false">
      <c r="A208" s="10" t="s">
        <v>583</v>
      </c>
      <c r="B208" s="10" t="s">
        <v>584</v>
      </c>
      <c r="C208" s="10" t="s">
        <v>65</v>
      </c>
      <c r="D208" s="10"/>
      <c r="E208" s="19" t="s">
        <v>115</v>
      </c>
      <c r="F208" s="23" t="n">
        <v>1</v>
      </c>
      <c r="G208" s="11" t="n">
        <f aca="false">SUMIFS('Issue Log'!$G$2:$G$501,'Issue Log'!$B$2:$B$501,$A208,'Issue Log'!$J$2:$J$501,"Out")</f>
        <v>0</v>
      </c>
      <c r="H208" s="11" t="n">
        <f aca="false">IF($F208="","",$F208-$G208)</f>
        <v>1</v>
      </c>
      <c r="I208" s="23" t="n">
        <v>2</v>
      </c>
      <c r="J208" s="11" t="str">
        <f aca="false">IF($F208="","Not counted",IF($H208&lt;=0,"Out of stock",IF($H208&lt;$I208,"Low stock","In stock")))</f>
        <v>Low stock</v>
      </c>
      <c r="K208" s="5" t="s">
        <v>175</v>
      </c>
      <c r="M208" s="26" t="n">
        <f aca="false">IF(Search!$C$4="",0,IF(ISNUMBER(SEARCH(Search!$C$4,$A208&amp;" "&amp;$B208&amp;" "&amp;$C208&amp;" "&amp;$E208)),1,0))</f>
        <v>0</v>
      </c>
      <c r="N208" s="0" t="str">
        <f aca="false">IF(M208=1,SUM($M$2:M208),"")</f>
        <v/>
      </c>
      <c r="O208" s="26" t="n">
        <f aca="false">IF(OR($J208="Out of stock",$J208="Low stock",$J208="Not counted"),1,0)</f>
        <v>1</v>
      </c>
      <c r="P208" s="26" t="n">
        <f aca="false">IF(O208=1,SUM($O$2:O208),"")</f>
        <v>44</v>
      </c>
    </row>
    <row r="209" customFormat="false" ht="15" hidden="false" customHeight="false" outlineLevel="0" collapsed="false">
      <c r="A209" s="10" t="s">
        <v>585</v>
      </c>
      <c r="B209" s="10" t="s">
        <v>586</v>
      </c>
      <c r="C209" s="10" t="s">
        <v>65</v>
      </c>
      <c r="D209" s="10"/>
      <c r="E209" s="19" t="s">
        <v>163</v>
      </c>
      <c r="F209" s="23" t="n">
        <v>13</v>
      </c>
      <c r="G209" s="11" t="n">
        <f aca="false">SUMIFS('Issue Log'!$G$2:$G$501,'Issue Log'!$B$2:$B$501,$A209,'Issue Log'!$J$2:$J$501,"Out")</f>
        <v>0</v>
      </c>
      <c r="H209" s="11" t="n">
        <f aca="false">IF($F209="","",$F209-$G209)</f>
        <v>13</v>
      </c>
      <c r="I209" s="23" t="n">
        <v>2</v>
      </c>
      <c r="J209" s="11" t="str">
        <f aca="false">IF($F209="","Not counted",IF($H209&lt;=0,"Out of stock",IF($H209&lt;$I209,"Low stock","In stock")))</f>
        <v>In stock</v>
      </c>
      <c r="K209" s="5" t="s">
        <v>175</v>
      </c>
      <c r="M209" s="26" t="n">
        <f aca="false">IF(Search!$C$4="",0,IF(ISNUMBER(SEARCH(Search!$C$4,$A209&amp;" "&amp;$B209&amp;" "&amp;$C209&amp;" "&amp;$E209)),1,0))</f>
        <v>0</v>
      </c>
      <c r="N209" s="0" t="str">
        <f aca="false">IF(M209=1,SUM($M$2:M209),"")</f>
        <v/>
      </c>
      <c r="O209" s="26" t="n">
        <f aca="false">IF(OR($J209="Out of stock",$J209="Low stock",$J209="Not counted"),1,0)</f>
        <v>0</v>
      </c>
      <c r="P209" s="0" t="str">
        <f aca="false">IF(O209=1,SUM($O$2:O209),"")</f>
        <v/>
      </c>
    </row>
    <row r="210" customFormat="false" ht="15" hidden="false" customHeight="false" outlineLevel="0" collapsed="false">
      <c r="A210" s="10" t="s">
        <v>587</v>
      </c>
      <c r="B210" s="10" t="s">
        <v>588</v>
      </c>
      <c r="C210" s="10" t="s">
        <v>60</v>
      </c>
      <c r="D210" s="10"/>
      <c r="E210" s="19" t="s">
        <v>163</v>
      </c>
      <c r="F210" s="23" t="n">
        <v>8</v>
      </c>
      <c r="G210" s="11" t="n">
        <f aca="false">SUMIFS('Issue Log'!$G$2:$G$501,'Issue Log'!$B$2:$B$501,$A210,'Issue Log'!$J$2:$J$501,"Out")</f>
        <v>0</v>
      </c>
      <c r="H210" s="11" t="n">
        <f aca="false">IF($F210="","",$F210-$G210)</f>
        <v>8</v>
      </c>
      <c r="I210" s="23" t="n">
        <v>2</v>
      </c>
      <c r="J210" s="11" t="str">
        <f aca="false">IF($F210="","Not counted",IF($H210&lt;=0,"Out of stock",IF($H210&lt;$I210,"Low stock","In stock")))</f>
        <v>In stock</v>
      </c>
      <c r="K210" s="5" t="s">
        <v>175</v>
      </c>
      <c r="M210" s="26" t="n">
        <f aca="false">IF(Search!$C$4="",0,IF(ISNUMBER(SEARCH(Search!$C$4,$A210&amp;" "&amp;$B210&amp;" "&amp;$C210&amp;" "&amp;$E210)),1,0))</f>
        <v>0</v>
      </c>
      <c r="N210" s="0" t="str">
        <f aca="false">IF(M210=1,SUM($M$2:M210),"")</f>
        <v/>
      </c>
      <c r="O210" s="26" t="n">
        <f aca="false">IF(OR($J210="Out of stock",$J210="Low stock",$J210="Not counted"),1,0)</f>
        <v>0</v>
      </c>
      <c r="P210" s="0" t="str">
        <f aca="false">IF(O210=1,SUM($O$2:O210),"")</f>
        <v/>
      </c>
    </row>
    <row r="211" customFormat="false" ht="15" hidden="false" customHeight="false" outlineLevel="0" collapsed="false">
      <c r="A211" s="10" t="s">
        <v>589</v>
      </c>
      <c r="B211" s="10" t="s">
        <v>590</v>
      </c>
      <c r="C211" s="10" t="s">
        <v>43</v>
      </c>
      <c r="D211" s="10"/>
      <c r="E211" s="19" t="s">
        <v>143</v>
      </c>
      <c r="F211" s="23" t="n">
        <v>16</v>
      </c>
      <c r="G211" s="11" t="n">
        <f aca="false">SUMIFS('Issue Log'!$G$2:$G$501,'Issue Log'!$B$2:$B$501,$A211,'Issue Log'!$J$2:$J$501,"Out")</f>
        <v>0</v>
      </c>
      <c r="H211" s="11" t="n">
        <f aca="false">IF($F211="","",$F211-$G211)</f>
        <v>16</v>
      </c>
      <c r="I211" s="23" t="n">
        <v>1</v>
      </c>
      <c r="J211" s="11" t="str">
        <f aca="false">IF($F211="","Not counted",IF($H211&lt;=0,"Out of stock",IF($H211&lt;$I211,"Low stock","In stock")))</f>
        <v>In stock</v>
      </c>
      <c r="K211" s="5" t="s">
        <v>175</v>
      </c>
      <c r="M211" s="26" t="n">
        <f aca="false">IF(Search!$C$4="",0,IF(ISNUMBER(SEARCH(Search!$C$4,$A211&amp;" "&amp;$B211&amp;" "&amp;$C211&amp;" "&amp;$E211)),1,0))</f>
        <v>0</v>
      </c>
      <c r="N211" s="0" t="str">
        <f aca="false">IF(M211=1,SUM($M$2:M211),"")</f>
        <v/>
      </c>
      <c r="O211" s="26" t="n">
        <f aca="false">IF(OR($J211="Out of stock",$J211="Low stock",$J211="Not counted"),1,0)</f>
        <v>0</v>
      </c>
      <c r="P211" s="0" t="str">
        <f aca="false">IF(O211=1,SUM($O$2:O211),"")</f>
        <v/>
      </c>
    </row>
    <row r="212" customFormat="false" ht="15" hidden="false" customHeight="false" outlineLevel="0" collapsed="false">
      <c r="A212" s="10" t="s">
        <v>591</v>
      </c>
      <c r="B212" s="10" t="s">
        <v>592</v>
      </c>
      <c r="C212" s="10" t="s">
        <v>43</v>
      </c>
      <c r="D212" s="10"/>
      <c r="E212" s="19" t="s">
        <v>143</v>
      </c>
      <c r="F212" s="23" t="n">
        <v>1</v>
      </c>
      <c r="G212" s="11" t="n">
        <f aca="false">SUMIFS('Issue Log'!$G$2:$G$501,'Issue Log'!$B$2:$B$501,$A212,'Issue Log'!$J$2:$J$501,"Out")</f>
        <v>0</v>
      </c>
      <c r="H212" s="11" t="n">
        <f aca="false">IF($F212="","",$F212-$G212)</f>
        <v>1</v>
      </c>
      <c r="I212" s="23" t="n">
        <v>1</v>
      </c>
      <c r="J212" s="11" t="str">
        <f aca="false">IF($F212="","Not counted",IF($H212&lt;=0,"Out of stock",IF($H212&lt;$I212,"Low stock","In stock")))</f>
        <v>In stock</v>
      </c>
      <c r="K212" s="5" t="s">
        <v>175</v>
      </c>
      <c r="M212" s="26" t="n">
        <f aca="false">IF(Search!$C$4="",0,IF(ISNUMBER(SEARCH(Search!$C$4,$A212&amp;" "&amp;$B212&amp;" "&amp;$C212&amp;" "&amp;$E212)),1,0))</f>
        <v>0</v>
      </c>
      <c r="N212" s="0" t="str">
        <f aca="false">IF(M212=1,SUM($M$2:M212),"")</f>
        <v/>
      </c>
      <c r="O212" s="26" t="n">
        <f aca="false">IF(OR($J212="Out of stock",$J212="Low stock",$J212="Not counted"),1,0)</f>
        <v>0</v>
      </c>
      <c r="P212" s="0" t="str">
        <f aca="false">IF(O212=1,SUM($O$2:O212),"")</f>
        <v/>
      </c>
    </row>
    <row r="213" customFormat="false" ht="15" hidden="false" customHeight="false" outlineLevel="0" collapsed="false">
      <c r="A213" s="10" t="s">
        <v>593</v>
      </c>
      <c r="B213" s="10" t="s">
        <v>594</v>
      </c>
      <c r="C213" s="10" t="s">
        <v>25</v>
      </c>
      <c r="D213" s="10"/>
      <c r="E213" s="19" t="s">
        <v>126</v>
      </c>
      <c r="F213" s="23" t="n">
        <v>15</v>
      </c>
      <c r="G213" s="11" t="n">
        <f aca="false">SUMIFS('Issue Log'!$G$2:$G$501,'Issue Log'!$B$2:$B$501,$A213,'Issue Log'!$J$2:$J$501,"Out")</f>
        <v>0</v>
      </c>
      <c r="H213" s="11" t="n">
        <f aca="false">IF($F213="","",$F213-$G213)</f>
        <v>15</v>
      </c>
      <c r="I213" s="23" t="n">
        <v>2</v>
      </c>
      <c r="J213" s="11" t="str">
        <f aca="false">IF($F213="","Not counted",IF($H213&lt;=0,"Out of stock",IF($H213&lt;$I213,"Low stock","In stock")))</f>
        <v>In stock</v>
      </c>
      <c r="K213" s="5" t="s">
        <v>175</v>
      </c>
      <c r="M213" s="26" t="n">
        <f aca="false">IF(Search!$C$4="",0,IF(ISNUMBER(SEARCH(Search!$C$4,$A213&amp;" "&amp;$B213&amp;" "&amp;$C213&amp;" "&amp;$E213)),1,0))</f>
        <v>0</v>
      </c>
      <c r="N213" s="0" t="str">
        <f aca="false">IF(M213=1,SUM($M$2:M213),"")</f>
        <v/>
      </c>
      <c r="O213" s="26" t="n">
        <f aca="false">IF(OR($J213="Out of stock",$J213="Low stock",$J213="Not counted"),1,0)</f>
        <v>0</v>
      </c>
      <c r="P213" s="0" t="str">
        <f aca="false">IF(O213=1,SUM($O$2:O213),"")</f>
        <v/>
      </c>
    </row>
    <row r="214" customFormat="false" ht="15" hidden="false" customHeight="false" outlineLevel="0" collapsed="false">
      <c r="A214" s="10" t="s">
        <v>595</v>
      </c>
      <c r="B214" s="10" t="s">
        <v>596</v>
      </c>
      <c r="C214" s="10" t="s">
        <v>25</v>
      </c>
      <c r="D214" s="10"/>
      <c r="E214" s="19" t="s">
        <v>126</v>
      </c>
      <c r="F214" s="23" t="n">
        <v>34</v>
      </c>
      <c r="G214" s="11" t="n">
        <f aca="false">SUMIFS('Issue Log'!$G$2:$G$501,'Issue Log'!$B$2:$B$501,$A214,'Issue Log'!$J$2:$J$501,"Out")</f>
        <v>0</v>
      </c>
      <c r="H214" s="11" t="n">
        <f aca="false">IF($F214="","",$F214-$G214)</f>
        <v>34</v>
      </c>
      <c r="I214" s="23" t="n">
        <v>2</v>
      </c>
      <c r="J214" s="11" t="str">
        <f aca="false">IF($F214="","Not counted",IF($H214&lt;=0,"Out of stock",IF($H214&lt;$I214,"Low stock","In stock")))</f>
        <v>In stock</v>
      </c>
      <c r="K214" s="5" t="s">
        <v>175</v>
      </c>
      <c r="M214" s="26" t="n">
        <f aca="false">IF(Search!$C$4="",0,IF(ISNUMBER(SEARCH(Search!$C$4,$A214&amp;" "&amp;$B214&amp;" "&amp;$C214&amp;" "&amp;$E214)),1,0))</f>
        <v>0</v>
      </c>
      <c r="N214" s="0" t="str">
        <f aca="false">IF(M214=1,SUM($M$2:M214),"")</f>
        <v/>
      </c>
      <c r="O214" s="26" t="n">
        <f aca="false">IF(OR($J214="Out of stock",$J214="Low stock",$J214="Not counted"),1,0)</f>
        <v>0</v>
      </c>
      <c r="P214" s="0" t="str">
        <f aca="false">IF(O214=1,SUM($O$2:O214),"")</f>
        <v/>
      </c>
    </row>
    <row r="215" customFormat="false" ht="15" hidden="false" customHeight="false" outlineLevel="0" collapsed="false">
      <c r="A215" s="10" t="s">
        <v>597</v>
      </c>
      <c r="B215" s="10" t="s">
        <v>598</v>
      </c>
      <c r="C215" s="10" t="s">
        <v>60</v>
      </c>
      <c r="D215" s="10"/>
      <c r="E215" s="19" t="s">
        <v>163</v>
      </c>
      <c r="F215" s="23" t="n">
        <v>6</v>
      </c>
      <c r="G215" s="11" t="n">
        <f aca="false">SUMIFS('Issue Log'!$G$2:$G$501,'Issue Log'!$B$2:$B$501,$A215,'Issue Log'!$J$2:$J$501,"Out")</f>
        <v>0</v>
      </c>
      <c r="H215" s="11" t="n">
        <f aca="false">IF($F215="","",$F215-$G215)</f>
        <v>6</v>
      </c>
      <c r="I215" s="23" t="n">
        <v>2</v>
      </c>
      <c r="J215" s="11" t="str">
        <f aca="false">IF($F215="","Not counted",IF($H215&lt;=0,"Out of stock",IF($H215&lt;$I215,"Low stock","In stock")))</f>
        <v>In stock</v>
      </c>
      <c r="K215" s="5" t="s">
        <v>175</v>
      </c>
      <c r="M215" s="26" t="n">
        <f aca="false">IF(Search!$C$4="",0,IF(ISNUMBER(SEARCH(Search!$C$4,$A215&amp;" "&amp;$B215&amp;" "&amp;$C215&amp;" "&amp;$E215)),1,0))</f>
        <v>0</v>
      </c>
      <c r="N215" s="0" t="str">
        <f aca="false">IF(M215=1,SUM($M$2:M215),"")</f>
        <v/>
      </c>
      <c r="O215" s="26" t="n">
        <f aca="false">IF(OR($J215="Out of stock",$J215="Low stock",$J215="Not counted"),1,0)</f>
        <v>0</v>
      </c>
      <c r="P215" s="0" t="str">
        <f aca="false">IF(O215=1,SUM($O$2:O215),"")</f>
        <v/>
      </c>
    </row>
    <row r="216" customFormat="false" ht="15" hidden="false" customHeight="false" outlineLevel="0" collapsed="false">
      <c r="A216" s="10" t="s">
        <v>599</v>
      </c>
      <c r="B216" s="10" t="s">
        <v>600</v>
      </c>
      <c r="C216" s="10" t="s">
        <v>51</v>
      </c>
      <c r="D216" s="10"/>
      <c r="E216" s="19" t="s">
        <v>163</v>
      </c>
      <c r="F216" s="23" t="n">
        <v>126</v>
      </c>
      <c r="G216" s="11" t="n">
        <f aca="false">SUMIFS('Issue Log'!$G$2:$G$501,'Issue Log'!$B$2:$B$501,$A216,'Issue Log'!$J$2:$J$501,"Out")</f>
        <v>0</v>
      </c>
      <c r="H216" s="11" t="n">
        <f aca="false">IF($F216="","",$F216-$G216)</f>
        <v>126</v>
      </c>
      <c r="I216" s="23" t="n">
        <v>5</v>
      </c>
      <c r="J216" s="11" t="str">
        <f aca="false">IF($F216="","Not counted",IF($H216&lt;=0,"Out of stock",IF($H216&lt;$I216,"Low stock","In stock")))</f>
        <v>In stock</v>
      </c>
      <c r="K216" s="5" t="s">
        <v>175</v>
      </c>
      <c r="M216" s="26" t="n">
        <f aca="false">IF(Search!$C$4="",0,IF(ISNUMBER(SEARCH(Search!$C$4,$A216&amp;" "&amp;$B216&amp;" "&amp;$C216&amp;" "&amp;$E216)),1,0))</f>
        <v>0</v>
      </c>
      <c r="N216" s="0" t="str">
        <f aca="false">IF(M216=1,SUM($M$2:M216),"")</f>
        <v/>
      </c>
      <c r="O216" s="26" t="n">
        <f aca="false">IF(OR($J216="Out of stock",$J216="Low stock",$J216="Not counted"),1,0)</f>
        <v>0</v>
      </c>
      <c r="P216" s="0" t="str">
        <f aca="false">IF(O216=1,SUM($O$2:O216),"")</f>
        <v/>
      </c>
    </row>
    <row r="217" customFormat="false" ht="15" hidden="false" customHeight="false" outlineLevel="0" collapsed="false">
      <c r="A217" s="10" t="s">
        <v>601</v>
      </c>
      <c r="B217" s="10" t="s">
        <v>602</v>
      </c>
      <c r="C217" s="10" t="s">
        <v>25</v>
      </c>
      <c r="D217" s="10" t="s">
        <v>603</v>
      </c>
      <c r="E217" s="19" t="s">
        <v>162</v>
      </c>
      <c r="F217" s="23" t="n">
        <v>1</v>
      </c>
      <c r="G217" s="11" t="n">
        <f aca="false">SUMIFS('Issue Log'!$G$2:$G$501,'Issue Log'!$B$2:$B$501,$A217,'Issue Log'!$J$2:$J$501,"Out")</f>
        <v>0</v>
      </c>
      <c r="H217" s="11" t="n">
        <f aca="false">IF($F217="","",$F217-$G217)</f>
        <v>1</v>
      </c>
      <c r="I217" s="23" t="n">
        <v>2</v>
      </c>
      <c r="J217" s="11" t="str">
        <f aca="false">IF($F217="","Not counted",IF($H217&lt;=0,"Out of stock",IF($H217&lt;$I217,"Low stock","In stock")))</f>
        <v>Low stock</v>
      </c>
      <c r="K217" s="5" t="s">
        <v>175</v>
      </c>
      <c r="M217" s="26" t="n">
        <f aca="false">IF(Search!$C$4="",0,IF(ISNUMBER(SEARCH(Search!$C$4,$A217&amp;" "&amp;$B217&amp;" "&amp;$C217&amp;" "&amp;$E217)),1,0))</f>
        <v>0</v>
      </c>
      <c r="N217" s="0" t="str">
        <f aca="false">IF(M217=1,SUM($M$2:M217),"")</f>
        <v/>
      </c>
      <c r="O217" s="26" t="n">
        <f aca="false">IF(OR($J217="Out of stock",$J217="Low stock",$J217="Not counted"),1,0)</f>
        <v>1</v>
      </c>
      <c r="P217" s="26" t="n">
        <f aca="false">IF(O217=1,SUM($O$2:O217),"")</f>
        <v>45</v>
      </c>
    </row>
    <row r="218" customFormat="false" ht="15" hidden="false" customHeight="false" outlineLevel="0" collapsed="false">
      <c r="A218" s="10" t="s">
        <v>604</v>
      </c>
      <c r="B218" s="10" t="s">
        <v>605</v>
      </c>
      <c r="C218" s="10" t="s">
        <v>25</v>
      </c>
      <c r="D218" s="10" t="s">
        <v>603</v>
      </c>
      <c r="E218" s="19" t="s">
        <v>162</v>
      </c>
      <c r="F218" s="23" t="n">
        <v>1</v>
      </c>
      <c r="G218" s="11" t="n">
        <f aca="false">SUMIFS('Issue Log'!$G$2:$G$501,'Issue Log'!$B$2:$B$501,$A218,'Issue Log'!$J$2:$J$501,"Out")</f>
        <v>0</v>
      </c>
      <c r="H218" s="11" t="n">
        <f aca="false">IF($F218="","",$F218-$G218)</f>
        <v>1</v>
      </c>
      <c r="I218" s="23" t="n">
        <v>2</v>
      </c>
      <c r="J218" s="11" t="str">
        <f aca="false">IF($F218="","Not counted",IF($H218&lt;=0,"Out of stock",IF($H218&lt;$I218,"Low stock","In stock")))</f>
        <v>Low stock</v>
      </c>
      <c r="K218" s="5" t="s">
        <v>175</v>
      </c>
      <c r="M218" s="26" t="n">
        <f aca="false">IF(Search!$C$4="",0,IF(ISNUMBER(SEARCH(Search!$C$4,$A218&amp;" "&amp;$B218&amp;" "&amp;$C218&amp;" "&amp;$E218)),1,0))</f>
        <v>0</v>
      </c>
      <c r="N218" s="0" t="str">
        <f aca="false">IF(M218=1,SUM($M$2:M218),"")</f>
        <v/>
      </c>
      <c r="O218" s="26" t="n">
        <f aca="false">IF(OR($J218="Out of stock",$J218="Low stock",$J218="Not counted"),1,0)</f>
        <v>1</v>
      </c>
      <c r="P218" s="26" t="n">
        <f aca="false">IF(O218=1,SUM($O$2:O218),"")</f>
        <v>46</v>
      </c>
    </row>
    <row r="219" customFormat="false" ht="15" hidden="false" customHeight="false" outlineLevel="0" collapsed="false">
      <c r="A219" s="10" t="s">
        <v>606</v>
      </c>
      <c r="B219" s="10" t="s">
        <v>607</v>
      </c>
      <c r="C219" s="10" t="s">
        <v>60</v>
      </c>
      <c r="D219" s="10" t="s">
        <v>603</v>
      </c>
      <c r="E219" s="19" t="s">
        <v>162</v>
      </c>
      <c r="F219" s="23" t="n">
        <v>2</v>
      </c>
      <c r="G219" s="11" t="n">
        <f aca="false">SUMIFS('Issue Log'!$G$2:$G$501,'Issue Log'!$B$2:$B$501,$A219,'Issue Log'!$J$2:$J$501,"Out")</f>
        <v>0</v>
      </c>
      <c r="H219" s="11" t="n">
        <f aca="false">IF($F219="","",$F219-$G219)</f>
        <v>2</v>
      </c>
      <c r="I219" s="23" t="n">
        <v>2</v>
      </c>
      <c r="J219" s="11" t="str">
        <f aca="false">IF($F219="","Not counted",IF($H219&lt;=0,"Out of stock",IF($H219&lt;$I219,"Low stock","In stock")))</f>
        <v>In stock</v>
      </c>
      <c r="K219" s="5" t="s">
        <v>175</v>
      </c>
      <c r="M219" s="26" t="n">
        <f aca="false">IF(Search!$C$4="",0,IF(ISNUMBER(SEARCH(Search!$C$4,$A219&amp;" "&amp;$B219&amp;" "&amp;$C219&amp;" "&amp;$E219)),1,0))</f>
        <v>0</v>
      </c>
      <c r="N219" s="0" t="str">
        <f aca="false">IF(M219=1,SUM($M$2:M219),"")</f>
        <v/>
      </c>
      <c r="O219" s="26" t="n">
        <f aca="false">IF(OR($J219="Out of stock",$J219="Low stock",$J219="Not counted"),1,0)</f>
        <v>0</v>
      </c>
      <c r="P219" s="0" t="str">
        <f aca="false">IF(O219=1,SUM($O$2:O219),"")</f>
        <v/>
      </c>
    </row>
    <row r="220" customFormat="false" ht="15" hidden="false" customHeight="false" outlineLevel="0" collapsed="false">
      <c r="A220" s="10" t="s">
        <v>608</v>
      </c>
      <c r="B220" s="10" t="s">
        <v>609</v>
      </c>
      <c r="C220" s="10" t="s">
        <v>60</v>
      </c>
      <c r="D220" s="10" t="s">
        <v>603</v>
      </c>
      <c r="E220" s="19" t="s">
        <v>162</v>
      </c>
      <c r="F220" s="23" t="n">
        <v>1</v>
      </c>
      <c r="G220" s="11" t="n">
        <f aca="false">SUMIFS('Issue Log'!$G$2:$G$501,'Issue Log'!$B$2:$B$501,$A220,'Issue Log'!$J$2:$J$501,"Out")</f>
        <v>0</v>
      </c>
      <c r="H220" s="11" t="n">
        <f aca="false">IF($F220="","",$F220-$G220)</f>
        <v>1</v>
      </c>
      <c r="I220" s="23" t="n">
        <v>2</v>
      </c>
      <c r="J220" s="11" t="str">
        <f aca="false">IF($F220="","Not counted",IF($H220&lt;=0,"Out of stock",IF($H220&lt;$I220,"Low stock","In stock")))</f>
        <v>Low stock</v>
      </c>
      <c r="K220" s="5" t="s">
        <v>175</v>
      </c>
      <c r="M220" s="26" t="n">
        <f aca="false">IF(Search!$C$4="",0,IF(ISNUMBER(SEARCH(Search!$C$4,$A220&amp;" "&amp;$B220&amp;" "&amp;$C220&amp;" "&amp;$E220)),1,0))</f>
        <v>0</v>
      </c>
      <c r="N220" s="0" t="str">
        <f aca="false">IF(M220=1,SUM($M$2:M220),"")</f>
        <v/>
      </c>
      <c r="O220" s="26" t="n">
        <f aca="false">IF(OR($J220="Out of stock",$J220="Low stock",$J220="Not counted"),1,0)</f>
        <v>1</v>
      </c>
      <c r="P220" s="26" t="n">
        <f aca="false">IF(O220=1,SUM($O$2:O220),"")</f>
        <v>47</v>
      </c>
    </row>
    <row r="221" customFormat="false" ht="15" hidden="false" customHeight="false" outlineLevel="0" collapsed="false">
      <c r="A221" s="10" t="s">
        <v>610</v>
      </c>
      <c r="B221" s="10" t="s">
        <v>611</v>
      </c>
      <c r="C221" s="10" t="s">
        <v>54</v>
      </c>
      <c r="D221" s="10" t="s">
        <v>603</v>
      </c>
      <c r="E221" s="19" t="s">
        <v>162</v>
      </c>
      <c r="F221" s="23" t="n">
        <v>17</v>
      </c>
      <c r="G221" s="11" t="n">
        <f aca="false">SUMIFS('Issue Log'!$G$2:$G$501,'Issue Log'!$B$2:$B$501,$A221,'Issue Log'!$J$2:$J$501,"Out")</f>
        <v>0</v>
      </c>
      <c r="H221" s="11" t="n">
        <f aca="false">IF($F221="","",$F221-$G221)</f>
        <v>17</v>
      </c>
      <c r="I221" s="23" t="n">
        <v>5</v>
      </c>
      <c r="J221" s="11" t="str">
        <f aca="false">IF($F221="","Not counted",IF($H221&lt;=0,"Out of stock",IF($H221&lt;$I221,"Low stock","In stock")))</f>
        <v>In stock</v>
      </c>
      <c r="K221" s="5" t="s">
        <v>175</v>
      </c>
      <c r="M221" s="26" t="n">
        <f aca="false">IF(Search!$C$4="",0,IF(ISNUMBER(SEARCH(Search!$C$4,$A221&amp;" "&amp;$B221&amp;" "&amp;$C221&amp;" "&amp;$E221)),1,0))</f>
        <v>0</v>
      </c>
      <c r="N221" s="0" t="str">
        <f aca="false">IF(M221=1,SUM($M$2:M221),"")</f>
        <v/>
      </c>
      <c r="O221" s="26" t="n">
        <f aca="false">IF(OR($J221="Out of stock",$J221="Low stock",$J221="Not counted"),1,0)</f>
        <v>0</v>
      </c>
      <c r="P221" s="0" t="str">
        <f aca="false">IF(O221=1,SUM($O$2:O221),"")</f>
        <v/>
      </c>
    </row>
    <row r="222" customFormat="false" ht="15" hidden="false" customHeight="false" outlineLevel="0" collapsed="false">
      <c r="A222" s="10" t="s">
        <v>612</v>
      </c>
      <c r="B222" s="10" t="s">
        <v>613</v>
      </c>
      <c r="C222" s="10" t="s">
        <v>45</v>
      </c>
      <c r="D222" s="10" t="s">
        <v>603</v>
      </c>
      <c r="E222" s="19" t="s">
        <v>162</v>
      </c>
      <c r="F222" s="23" t="n">
        <v>2</v>
      </c>
      <c r="G222" s="11" t="n">
        <f aca="false">SUMIFS('Issue Log'!$G$2:$G$501,'Issue Log'!$B$2:$B$501,$A222,'Issue Log'!$J$2:$J$501,"Out")</f>
        <v>0</v>
      </c>
      <c r="H222" s="11" t="n">
        <f aca="false">IF($F222="","",$F222-$G222)</f>
        <v>2</v>
      </c>
      <c r="I222" s="23" t="n">
        <v>1</v>
      </c>
      <c r="J222" s="11" t="str">
        <f aca="false">IF($F222="","Not counted",IF($H222&lt;=0,"Out of stock",IF($H222&lt;$I222,"Low stock","In stock")))</f>
        <v>In stock</v>
      </c>
      <c r="K222" s="5" t="s">
        <v>175</v>
      </c>
      <c r="M222" s="26" t="n">
        <f aca="false">IF(Search!$C$4="",0,IF(ISNUMBER(SEARCH(Search!$C$4,$A222&amp;" "&amp;$B222&amp;" "&amp;$C222&amp;" "&amp;$E222)),1,0))</f>
        <v>0</v>
      </c>
      <c r="N222" s="0" t="str">
        <f aca="false">IF(M222=1,SUM($M$2:M222),"")</f>
        <v/>
      </c>
      <c r="O222" s="26" t="n">
        <f aca="false">IF(OR($J222="Out of stock",$J222="Low stock",$J222="Not counted"),1,0)</f>
        <v>0</v>
      </c>
      <c r="P222" s="0" t="str">
        <f aca="false">IF(O222=1,SUM($O$2:O222),"")</f>
        <v/>
      </c>
    </row>
    <row r="223" customFormat="false" ht="15" hidden="false" customHeight="false" outlineLevel="0" collapsed="false">
      <c r="A223" s="10" t="s">
        <v>614</v>
      </c>
      <c r="B223" s="10" t="s">
        <v>615</v>
      </c>
      <c r="C223" s="10" t="s">
        <v>40</v>
      </c>
      <c r="D223" s="10" t="s">
        <v>603</v>
      </c>
      <c r="E223" s="19" t="s">
        <v>162</v>
      </c>
      <c r="F223" s="23" t="n">
        <v>40</v>
      </c>
      <c r="G223" s="11" t="n">
        <f aca="false">SUMIFS('Issue Log'!$G$2:$G$501,'Issue Log'!$B$2:$B$501,$A223,'Issue Log'!$J$2:$J$501,"Out")</f>
        <v>0</v>
      </c>
      <c r="H223" s="11" t="n">
        <f aca="false">IF($F223="","",$F223-$G223)</f>
        <v>40</v>
      </c>
      <c r="I223" s="23" t="n">
        <v>4</v>
      </c>
      <c r="J223" s="11" t="str">
        <f aca="false">IF($F223="","Not counted",IF($H223&lt;=0,"Out of stock",IF($H223&lt;$I223,"Low stock","In stock")))</f>
        <v>In stock</v>
      </c>
      <c r="K223" s="5" t="s">
        <v>175</v>
      </c>
      <c r="M223" s="26" t="n">
        <f aca="false">IF(Search!$C$4="",0,IF(ISNUMBER(SEARCH(Search!$C$4,$A223&amp;" "&amp;$B223&amp;" "&amp;$C223&amp;" "&amp;$E223)),1,0))</f>
        <v>0</v>
      </c>
      <c r="N223" s="0" t="str">
        <f aca="false">IF(M223=1,SUM($M$2:M223),"")</f>
        <v/>
      </c>
      <c r="O223" s="26" t="n">
        <f aca="false">IF(OR($J223="Out of stock",$J223="Low stock",$J223="Not counted"),1,0)</f>
        <v>0</v>
      </c>
      <c r="P223" s="0" t="str">
        <f aca="false">IF(O223=1,SUM($O$2:O223),"")</f>
        <v/>
      </c>
    </row>
    <row r="224" customFormat="false" ht="15" hidden="false" customHeight="false" outlineLevel="0" collapsed="false">
      <c r="A224" s="10" t="s">
        <v>616</v>
      </c>
      <c r="B224" s="10" t="s">
        <v>617</v>
      </c>
      <c r="C224" s="10" t="s">
        <v>68</v>
      </c>
      <c r="D224" s="10" t="s">
        <v>603</v>
      </c>
      <c r="E224" s="19" t="s">
        <v>162</v>
      </c>
      <c r="F224" s="23" t="n">
        <v>15</v>
      </c>
      <c r="G224" s="11" t="n">
        <f aca="false">SUMIFS('Issue Log'!$G$2:$G$501,'Issue Log'!$B$2:$B$501,$A224,'Issue Log'!$J$2:$J$501,"Out")</f>
        <v>0</v>
      </c>
      <c r="H224" s="11" t="n">
        <f aca="false">IF($F224="","",$F224-$G224)</f>
        <v>15</v>
      </c>
      <c r="I224" s="23" t="n">
        <v>10</v>
      </c>
      <c r="J224" s="11" t="str">
        <f aca="false">IF($F224="","Not counted",IF($H224&lt;=0,"Out of stock",IF($H224&lt;$I224,"Low stock","In stock")))</f>
        <v>In stock</v>
      </c>
      <c r="K224" s="5" t="s">
        <v>175</v>
      </c>
      <c r="M224" s="26" t="n">
        <f aca="false">IF(Search!$C$4="",0,IF(ISNUMBER(SEARCH(Search!$C$4,$A224&amp;" "&amp;$B224&amp;" "&amp;$C224&amp;" "&amp;$E224)),1,0))</f>
        <v>1</v>
      </c>
      <c r="N224" s="26" t="n">
        <f aca="false">IF(M224=1,SUM($M$2:M224),"")</f>
        <v>21</v>
      </c>
      <c r="O224" s="26" t="n">
        <f aca="false">IF(OR($J224="Out of stock",$J224="Low stock",$J224="Not counted"),1,0)</f>
        <v>0</v>
      </c>
      <c r="P224" s="0" t="str">
        <f aca="false">IF(O224=1,SUM($O$2:O224),"")</f>
        <v/>
      </c>
    </row>
    <row r="225" customFormat="false" ht="15" hidden="false" customHeight="false" outlineLevel="0" collapsed="false">
      <c r="A225" s="10" t="s">
        <v>618</v>
      </c>
      <c r="B225" s="10" t="s">
        <v>619</v>
      </c>
      <c r="C225" s="10" t="s">
        <v>72</v>
      </c>
      <c r="D225" s="10" t="s">
        <v>603</v>
      </c>
      <c r="E225" s="19" t="s">
        <v>162</v>
      </c>
      <c r="F225" s="23" t="n">
        <v>10</v>
      </c>
      <c r="G225" s="11" t="n">
        <f aca="false">SUMIFS('Issue Log'!$G$2:$G$501,'Issue Log'!$B$2:$B$501,$A225,'Issue Log'!$J$2:$J$501,"Out")</f>
        <v>0</v>
      </c>
      <c r="H225" s="11" t="n">
        <f aca="false">IF($F225="","",$F225-$G225)</f>
        <v>10</v>
      </c>
      <c r="I225" s="23" t="n">
        <v>4</v>
      </c>
      <c r="J225" s="11" t="str">
        <f aca="false">IF($F225="","Not counted",IF($H225&lt;=0,"Out of stock",IF($H225&lt;$I225,"Low stock","In stock")))</f>
        <v>In stock</v>
      </c>
      <c r="K225" s="5" t="s">
        <v>175</v>
      </c>
      <c r="M225" s="26" t="n">
        <f aca="false">IF(Search!$C$4="",0,IF(ISNUMBER(SEARCH(Search!$C$4,$A225&amp;" "&amp;$B225&amp;" "&amp;$C225&amp;" "&amp;$E225)),1,0))</f>
        <v>0</v>
      </c>
      <c r="N225" s="0" t="str">
        <f aca="false">IF(M225=1,SUM($M$2:M225),"")</f>
        <v/>
      </c>
      <c r="O225" s="26" t="n">
        <f aca="false">IF(OR($J225="Out of stock",$J225="Low stock",$J225="Not counted"),1,0)</f>
        <v>0</v>
      </c>
      <c r="P225" s="0" t="str">
        <f aca="false">IF(O225=1,SUM($O$2:O225),"")</f>
        <v/>
      </c>
    </row>
    <row r="226" customFormat="false" ht="15" hidden="false" customHeight="false" outlineLevel="0" collapsed="false">
      <c r="A226" s="10" t="s">
        <v>620</v>
      </c>
      <c r="B226" s="10" t="s">
        <v>621</v>
      </c>
      <c r="C226" s="10" t="s">
        <v>48</v>
      </c>
      <c r="D226" s="10" t="s">
        <v>603</v>
      </c>
      <c r="E226" s="19" t="s">
        <v>162</v>
      </c>
      <c r="F226" s="23" t="n">
        <v>3</v>
      </c>
      <c r="G226" s="11" t="n">
        <f aca="false">SUMIFS('Issue Log'!$G$2:$G$501,'Issue Log'!$B$2:$B$501,$A226,'Issue Log'!$J$2:$J$501,"Out")</f>
        <v>0</v>
      </c>
      <c r="H226" s="11" t="n">
        <f aca="false">IF($F226="","",$F226-$G226)</f>
        <v>3</v>
      </c>
      <c r="I226" s="23" t="n">
        <v>5</v>
      </c>
      <c r="J226" s="11" t="str">
        <f aca="false">IF($F226="","Not counted",IF($H226&lt;=0,"Out of stock",IF($H226&lt;$I226,"Low stock","In stock")))</f>
        <v>Low stock</v>
      </c>
      <c r="K226" s="5" t="s">
        <v>175</v>
      </c>
      <c r="M226" s="26" t="n">
        <f aca="false">IF(Search!$C$4="",0,IF(ISNUMBER(SEARCH(Search!$C$4,$A226&amp;" "&amp;$B226&amp;" "&amp;$C226&amp;" "&amp;$E226)),1,0))</f>
        <v>0</v>
      </c>
      <c r="N226" s="0" t="str">
        <f aca="false">IF(M226=1,SUM($M$2:M226),"")</f>
        <v/>
      </c>
      <c r="O226" s="26" t="n">
        <f aca="false">IF(OR($J226="Out of stock",$J226="Low stock",$J226="Not counted"),1,0)</f>
        <v>1</v>
      </c>
      <c r="P226" s="26" t="n">
        <f aca="false">IF(O226=1,SUM($O$2:O226),"")</f>
        <v>48</v>
      </c>
    </row>
    <row r="227" customFormat="false" ht="15" hidden="false" customHeight="false" outlineLevel="0" collapsed="false">
      <c r="A227" s="10" t="s">
        <v>622</v>
      </c>
      <c r="B227" s="10" t="s">
        <v>623</v>
      </c>
      <c r="C227" s="10" t="s">
        <v>60</v>
      </c>
      <c r="D227" s="10" t="s">
        <v>603</v>
      </c>
      <c r="E227" s="19" t="s">
        <v>162</v>
      </c>
      <c r="F227" s="23" t="n">
        <v>1</v>
      </c>
      <c r="G227" s="11" t="n">
        <f aca="false">SUMIFS('Issue Log'!$G$2:$G$501,'Issue Log'!$B$2:$B$501,$A227,'Issue Log'!$J$2:$J$501,"Out")</f>
        <v>0</v>
      </c>
      <c r="H227" s="11" t="n">
        <f aca="false">IF($F227="","",$F227-$G227)</f>
        <v>1</v>
      </c>
      <c r="I227" s="23" t="n">
        <v>2</v>
      </c>
      <c r="J227" s="11" t="str">
        <f aca="false">IF($F227="","Not counted",IF($H227&lt;=0,"Out of stock",IF($H227&lt;$I227,"Low stock","In stock")))</f>
        <v>Low stock</v>
      </c>
      <c r="K227" s="5" t="s">
        <v>175</v>
      </c>
      <c r="M227" s="26" t="n">
        <f aca="false">IF(Search!$C$4="",0,IF(ISNUMBER(SEARCH(Search!$C$4,$A227&amp;" "&amp;$B227&amp;" "&amp;$C227&amp;" "&amp;$E227)),1,0))</f>
        <v>0</v>
      </c>
      <c r="N227" s="0" t="str">
        <f aca="false">IF(M227=1,SUM($M$2:M227),"")</f>
        <v/>
      </c>
      <c r="O227" s="26" t="n">
        <f aca="false">IF(OR($J227="Out of stock",$J227="Low stock",$J227="Not counted"),1,0)</f>
        <v>1</v>
      </c>
      <c r="P227" s="26" t="n">
        <f aca="false">IF(O227=1,SUM($O$2:O227),"")</f>
        <v>49</v>
      </c>
    </row>
    <row r="228" customFormat="false" ht="15" hidden="false" customHeight="false" outlineLevel="0" collapsed="false">
      <c r="A228" s="10" t="s">
        <v>624</v>
      </c>
      <c r="B228" s="10" t="s">
        <v>49</v>
      </c>
      <c r="C228" s="10" t="s">
        <v>49</v>
      </c>
      <c r="D228" s="10" t="s">
        <v>603</v>
      </c>
      <c r="E228" s="19" t="s">
        <v>162</v>
      </c>
      <c r="F228" s="23" t="n">
        <v>2</v>
      </c>
      <c r="G228" s="11" t="n">
        <f aca="false">SUMIFS('Issue Log'!$G$2:$G$501,'Issue Log'!$B$2:$B$501,$A228,'Issue Log'!$J$2:$J$501,"Out")</f>
        <v>0</v>
      </c>
      <c r="H228" s="11" t="n">
        <f aca="false">IF($F228="","",$F228-$G228)</f>
        <v>2</v>
      </c>
      <c r="I228" s="23" t="n">
        <v>4</v>
      </c>
      <c r="J228" s="11" t="str">
        <f aca="false">IF($F228="","Not counted",IF($H228&lt;=0,"Out of stock",IF($H228&lt;$I228,"Low stock","In stock")))</f>
        <v>Low stock</v>
      </c>
      <c r="K228" s="5" t="s">
        <v>175</v>
      </c>
      <c r="M228" s="26" t="n">
        <f aca="false">IF(Search!$C$4="",0,IF(ISNUMBER(SEARCH(Search!$C$4,$A228&amp;" "&amp;$B228&amp;" "&amp;$C228&amp;" "&amp;$E228)),1,0))</f>
        <v>0</v>
      </c>
      <c r="N228" s="0" t="str">
        <f aca="false">IF(M228=1,SUM($M$2:M228),"")</f>
        <v/>
      </c>
      <c r="O228" s="26" t="n">
        <f aca="false">IF(OR($J228="Out of stock",$J228="Low stock",$J228="Not counted"),1,0)</f>
        <v>1</v>
      </c>
      <c r="P228" s="26" t="n">
        <f aca="false">IF(O228=1,SUM($O$2:O228),"")</f>
        <v>50</v>
      </c>
    </row>
    <row r="229" customFormat="false" ht="15" hidden="false" customHeight="false" outlineLevel="0" collapsed="false">
      <c r="A229" s="10" t="s">
        <v>625</v>
      </c>
      <c r="B229" s="10" t="s">
        <v>626</v>
      </c>
      <c r="C229" s="10" t="s">
        <v>40</v>
      </c>
      <c r="D229" s="10" t="s">
        <v>603</v>
      </c>
      <c r="E229" s="19" t="s">
        <v>162</v>
      </c>
      <c r="F229" s="23" t="n">
        <v>5</v>
      </c>
      <c r="G229" s="11" t="n">
        <f aca="false">SUMIFS('Issue Log'!$G$2:$G$501,'Issue Log'!$B$2:$B$501,$A229,'Issue Log'!$J$2:$J$501,"Out")</f>
        <v>0</v>
      </c>
      <c r="H229" s="11" t="n">
        <f aca="false">IF($F229="","",$F229-$G229)</f>
        <v>5</v>
      </c>
      <c r="I229" s="23" t="n">
        <v>4</v>
      </c>
      <c r="J229" s="11" t="str">
        <f aca="false">IF($F229="","Not counted",IF($H229&lt;=0,"Out of stock",IF($H229&lt;$I229,"Low stock","In stock")))</f>
        <v>In stock</v>
      </c>
      <c r="K229" s="5" t="s">
        <v>175</v>
      </c>
      <c r="M229" s="26" t="n">
        <f aca="false">IF(Search!$C$4="",0,IF(ISNUMBER(SEARCH(Search!$C$4,$A229&amp;" "&amp;$B229&amp;" "&amp;$C229&amp;" "&amp;$E229)),1,0))</f>
        <v>0</v>
      </c>
      <c r="N229" s="0" t="str">
        <f aca="false">IF(M229=1,SUM($M$2:M229),"")</f>
        <v/>
      </c>
      <c r="O229" s="26" t="n">
        <f aca="false">IF(OR($J229="Out of stock",$J229="Low stock",$J229="Not counted"),1,0)</f>
        <v>0</v>
      </c>
      <c r="P229" s="0" t="str">
        <f aca="false">IF(O229=1,SUM($O$2:O229),"")</f>
        <v/>
      </c>
    </row>
    <row r="230" customFormat="false" ht="15" hidden="false" customHeight="false" outlineLevel="0" collapsed="false">
      <c r="A230" s="10" t="s">
        <v>627</v>
      </c>
      <c r="B230" s="10" t="s">
        <v>628</v>
      </c>
      <c r="C230" s="10" t="s">
        <v>63</v>
      </c>
      <c r="D230" s="10" t="s">
        <v>603</v>
      </c>
      <c r="E230" s="19" t="s">
        <v>162</v>
      </c>
      <c r="F230" s="23" t="n">
        <v>13</v>
      </c>
      <c r="G230" s="11" t="n">
        <f aca="false">SUMIFS('Issue Log'!$G$2:$G$501,'Issue Log'!$B$2:$B$501,$A230,'Issue Log'!$J$2:$J$501,"Out")</f>
        <v>0</v>
      </c>
      <c r="H230" s="11" t="n">
        <f aca="false">IF($F230="","",$F230-$G230)</f>
        <v>13</v>
      </c>
      <c r="I230" s="23" t="n">
        <v>1</v>
      </c>
      <c r="J230" s="11" t="str">
        <f aca="false">IF($F230="","Not counted",IF($H230&lt;=0,"Out of stock",IF($H230&lt;$I230,"Low stock","In stock")))</f>
        <v>In stock</v>
      </c>
      <c r="K230" s="5" t="s">
        <v>175</v>
      </c>
      <c r="M230" s="26" t="n">
        <f aca="false">IF(Search!$C$4="",0,IF(ISNUMBER(SEARCH(Search!$C$4,$A230&amp;" "&amp;$B230&amp;" "&amp;$C230&amp;" "&amp;$E230)),1,0))</f>
        <v>0</v>
      </c>
      <c r="N230" s="0" t="str">
        <f aca="false">IF(M230=1,SUM($M$2:M230),"")</f>
        <v/>
      </c>
      <c r="O230" s="26" t="n">
        <f aca="false">IF(OR($J230="Out of stock",$J230="Low stock",$J230="Not counted"),1,0)</f>
        <v>0</v>
      </c>
      <c r="P230" s="0" t="str">
        <f aca="false">IF(O230=1,SUM($O$2:O230),"")</f>
        <v/>
      </c>
    </row>
    <row r="231" customFormat="false" ht="15" hidden="false" customHeight="false" outlineLevel="0" collapsed="false">
      <c r="A231" s="10" t="s">
        <v>629</v>
      </c>
      <c r="B231" s="10" t="s">
        <v>630</v>
      </c>
      <c r="C231" s="10" t="s">
        <v>69</v>
      </c>
      <c r="D231" s="10" t="s">
        <v>603</v>
      </c>
      <c r="E231" s="19" t="s">
        <v>162</v>
      </c>
      <c r="F231" s="23" t="n">
        <v>2</v>
      </c>
      <c r="G231" s="11" t="n">
        <f aca="false">SUMIFS('Issue Log'!$G$2:$G$501,'Issue Log'!$B$2:$B$501,$A231,'Issue Log'!$J$2:$J$501,"Out")</f>
        <v>0</v>
      </c>
      <c r="H231" s="11" t="n">
        <f aca="false">IF($F231="","",$F231-$G231)</f>
        <v>2</v>
      </c>
      <c r="I231" s="23" t="n">
        <v>2</v>
      </c>
      <c r="J231" s="11" t="str">
        <f aca="false">IF($F231="","Not counted",IF($H231&lt;=0,"Out of stock",IF($H231&lt;$I231,"Low stock","In stock")))</f>
        <v>In stock</v>
      </c>
      <c r="K231" s="5" t="s">
        <v>175</v>
      </c>
      <c r="M231" s="26" t="n">
        <f aca="false">IF(Search!$C$4="",0,IF(ISNUMBER(SEARCH(Search!$C$4,$A231&amp;" "&amp;$B231&amp;" "&amp;$C231&amp;" "&amp;$E231)),1,0))</f>
        <v>0</v>
      </c>
      <c r="N231" s="0" t="str">
        <f aca="false">IF(M231=1,SUM($M$2:M231),"")</f>
        <v/>
      </c>
      <c r="O231" s="26" t="n">
        <f aca="false">IF(OR($J231="Out of stock",$J231="Low stock",$J231="Not counted"),1,0)</f>
        <v>0</v>
      </c>
      <c r="P231" s="0" t="str">
        <f aca="false">IF(O231=1,SUM($O$2:O231),"")</f>
        <v/>
      </c>
    </row>
    <row r="232" customFormat="false" ht="15" hidden="false" customHeight="false" outlineLevel="0" collapsed="false">
      <c r="A232" s="10" t="s">
        <v>631</v>
      </c>
      <c r="B232" s="10" t="s">
        <v>632</v>
      </c>
      <c r="C232" s="10" t="s">
        <v>53</v>
      </c>
      <c r="D232" s="10" t="s">
        <v>603</v>
      </c>
      <c r="E232" s="19" t="s">
        <v>162</v>
      </c>
      <c r="F232" s="23" t="n">
        <v>8</v>
      </c>
      <c r="G232" s="11" t="n">
        <f aca="false">SUMIFS('Issue Log'!$G$2:$G$501,'Issue Log'!$B$2:$B$501,$A232,'Issue Log'!$J$2:$J$501,"Out")</f>
        <v>0</v>
      </c>
      <c r="H232" s="11" t="n">
        <f aca="false">IF($F232="","",$F232-$G232)</f>
        <v>8</v>
      </c>
      <c r="I232" s="23" t="n">
        <v>5</v>
      </c>
      <c r="J232" s="11" t="str">
        <f aca="false">IF($F232="","Not counted",IF($H232&lt;=0,"Out of stock",IF($H232&lt;$I232,"Low stock","In stock")))</f>
        <v>In stock</v>
      </c>
      <c r="K232" s="5" t="s">
        <v>175</v>
      </c>
      <c r="M232" s="26" t="n">
        <f aca="false">IF(Search!$C$4="",0,IF(ISNUMBER(SEARCH(Search!$C$4,$A232&amp;" "&amp;$B232&amp;" "&amp;$C232&amp;" "&amp;$E232)),1,0))</f>
        <v>0</v>
      </c>
      <c r="N232" s="0" t="str">
        <f aca="false">IF(M232=1,SUM($M$2:M232),"")</f>
        <v/>
      </c>
      <c r="O232" s="26" t="n">
        <f aca="false">IF(OR($J232="Out of stock",$J232="Low stock",$J232="Not counted"),1,0)</f>
        <v>0</v>
      </c>
      <c r="P232" s="0" t="str">
        <f aca="false">IF(O232=1,SUM($O$2:O232),"")</f>
        <v/>
      </c>
    </row>
    <row r="233" customFormat="false" ht="15" hidden="false" customHeight="false" outlineLevel="0" collapsed="false">
      <c r="A233" s="10" t="s">
        <v>633</v>
      </c>
      <c r="B233" s="10" t="s">
        <v>634</v>
      </c>
      <c r="C233" s="10" t="s">
        <v>53</v>
      </c>
      <c r="D233" s="10" t="s">
        <v>603</v>
      </c>
      <c r="E233" s="19" t="s">
        <v>162</v>
      </c>
      <c r="F233" s="23" t="n">
        <v>2</v>
      </c>
      <c r="G233" s="11" t="n">
        <f aca="false">SUMIFS('Issue Log'!$G$2:$G$501,'Issue Log'!$B$2:$B$501,$A233,'Issue Log'!$J$2:$J$501,"Out")</f>
        <v>0</v>
      </c>
      <c r="H233" s="11" t="n">
        <f aca="false">IF($F233="","",$F233-$G233)</f>
        <v>2</v>
      </c>
      <c r="I233" s="23" t="n">
        <v>5</v>
      </c>
      <c r="J233" s="11" t="str">
        <f aca="false">IF($F233="","Not counted",IF($H233&lt;=0,"Out of stock",IF($H233&lt;$I233,"Low stock","In stock")))</f>
        <v>Low stock</v>
      </c>
      <c r="K233" s="5" t="s">
        <v>175</v>
      </c>
      <c r="M233" s="26" t="n">
        <f aca="false">IF(Search!$C$4="",0,IF(ISNUMBER(SEARCH(Search!$C$4,$A233&amp;" "&amp;$B233&amp;" "&amp;$C233&amp;" "&amp;$E233)),1,0))</f>
        <v>0</v>
      </c>
      <c r="N233" s="0" t="str">
        <f aca="false">IF(M233=1,SUM($M$2:M233),"")</f>
        <v/>
      </c>
      <c r="O233" s="26" t="n">
        <f aca="false">IF(OR($J233="Out of stock",$J233="Low stock",$J233="Not counted"),1,0)</f>
        <v>1</v>
      </c>
      <c r="P233" s="26" t="n">
        <f aca="false">IF(O233=1,SUM($O$2:O233),"")</f>
        <v>51</v>
      </c>
    </row>
    <row r="234" customFormat="false" ht="15" hidden="false" customHeight="false" outlineLevel="0" collapsed="false">
      <c r="A234" s="10" t="s">
        <v>635</v>
      </c>
      <c r="B234" s="10" t="s">
        <v>636</v>
      </c>
      <c r="C234" s="10" t="s">
        <v>50</v>
      </c>
      <c r="D234" s="10" t="s">
        <v>603</v>
      </c>
      <c r="E234" s="19" t="s">
        <v>162</v>
      </c>
      <c r="F234" s="23" t="n">
        <v>6</v>
      </c>
      <c r="G234" s="11" t="n">
        <f aca="false">SUMIFS('Issue Log'!$G$2:$G$501,'Issue Log'!$B$2:$B$501,$A234,'Issue Log'!$J$2:$J$501,"Out")</f>
        <v>0</v>
      </c>
      <c r="H234" s="11" t="n">
        <f aca="false">IF($F234="","",$F234-$G234)</f>
        <v>6</v>
      </c>
      <c r="I234" s="23" t="n">
        <v>4</v>
      </c>
      <c r="J234" s="11" t="str">
        <f aca="false">IF($F234="","Not counted",IF($H234&lt;=0,"Out of stock",IF($H234&lt;$I234,"Low stock","In stock")))</f>
        <v>In stock</v>
      </c>
      <c r="K234" s="5" t="s">
        <v>175</v>
      </c>
      <c r="M234" s="26" t="n">
        <f aca="false">IF(Search!$C$4="",0,IF(ISNUMBER(SEARCH(Search!$C$4,$A234&amp;" "&amp;$B234&amp;" "&amp;$C234&amp;" "&amp;$E234)),1,0))</f>
        <v>0</v>
      </c>
      <c r="N234" s="0" t="str">
        <f aca="false">IF(M234=1,SUM($M$2:M234),"")</f>
        <v/>
      </c>
      <c r="O234" s="26" t="n">
        <f aca="false">IF(OR($J234="Out of stock",$J234="Low stock",$J234="Not counted"),1,0)</f>
        <v>0</v>
      </c>
      <c r="P234" s="0" t="str">
        <f aca="false">IF(O234=1,SUM($O$2:O234),"")</f>
        <v/>
      </c>
    </row>
    <row r="235" customFormat="false" ht="15" hidden="false" customHeight="false" outlineLevel="0" collapsed="false">
      <c r="A235" s="10" t="s">
        <v>637</v>
      </c>
      <c r="B235" s="10" t="s">
        <v>638</v>
      </c>
      <c r="C235" s="10" t="s">
        <v>50</v>
      </c>
      <c r="D235" s="10" t="s">
        <v>603</v>
      </c>
      <c r="E235" s="19" t="s">
        <v>162</v>
      </c>
      <c r="F235" s="23" t="n">
        <v>0</v>
      </c>
      <c r="G235" s="11" t="n">
        <f aca="false">SUMIFS('Issue Log'!$G$2:$G$501,'Issue Log'!$B$2:$B$501,$A235,'Issue Log'!$J$2:$J$501,"Out")</f>
        <v>0</v>
      </c>
      <c r="H235" s="11" t="n">
        <f aca="false">IF($F235="","",$F235-$G235)</f>
        <v>0</v>
      </c>
      <c r="I235" s="23" t="n">
        <v>4</v>
      </c>
      <c r="J235" s="11" t="str">
        <f aca="false">IF($F235="","Not counted",IF($H235&lt;=0,"Out of stock",IF($H235&lt;$I235,"Low stock","In stock")))</f>
        <v>Out of stock</v>
      </c>
      <c r="K235" s="5" t="s">
        <v>175</v>
      </c>
      <c r="M235" s="26" t="n">
        <f aca="false">IF(Search!$C$4="",0,IF(ISNUMBER(SEARCH(Search!$C$4,$A235&amp;" "&amp;$B235&amp;" "&amp;$C235&amp;" "&amp;$E235)),1,0))</f>
        <v>0</v>
      </c>
      <c r="N235" s="0" t="str">
        <f aca="false">IF(M235=1,SUM($M$2:M235),"")</f>
        <v/>
      </c>
      <c r="O235" s="26" t="n">
        <f aca="false">IF(OR($J235="Out of stock",$J235="Low stock",$J235="Not counted"),1,0)</f>
        <v>1</v>
      </c>
      <c r="P235" s="26" t="n">
        <f aca="false">IF(O235=1,SUM($O$2:O235),"")</f>
        <v>52</v>
      </c>
    </row>
    <row r="236" customFormat="false" ht="15" hidden="false" customHeight="false" outlineLevel="0" collapsed="false">
      <c r="A236" s="10" t="s">
        <v>639</v>
      </c>
      <c r="B236" s="10" t="s">
        <v>640</v>
      </c>
      <c r="C236" s="10" t="s">
        <v>54</v>
      </c>
      <c r="D236" s="10" t="s">
        <v>603</v>
      </c>
      <c r="E236" s="19" t="s">
        <v>162</v>
      </c>
      <c r="F236" s="23" t="n">
        <v>3</v>
      </c>
      <c r="G236" s="11" t="n">
        <f aca="false">SUMIFS('Issue Log'!$G$2:$G$501,'Issue Log'!$B$2:$B$501,$A236,'Issue Log'!$J$2:$J$501,"Out")</f>
        <v>0</v>
      </c>
      <c r="H236" s="11" t="n">
        <f aca="false">IF($F236="","",$F236-$G236)</f>
        <v>3</v>
      </c>
      <c r="I236" s="23" t="n">
        <v>5</v>
      </c>
      <c r="J236" s="11" t="str">
        <f aca="false">IF($F236="","Not counted",IF($H236&lt;=0,"Out of stock",IF($H236&lt;$I236,"Low stock","In stock")))</f>
        <v>Low stock</v>
      </c>
      <c r="K236" s="5" t="s">
        <v>175</v>
      </c>
      <c r="M236" s="26" t="n">
        <f aca="false">IF(Search!$C$4="",0,IF(ISNUMBER(SEARCH(Search!$C$4,$A236&amp;" "&amp;$B236&amp;" "&amp;$C236&amp;" "&amp;$E236)),1,0))</f>
        <v>0</v>
      </c>
      <c r="N236" s="0" t="str">
        <f aca="false">IF(M236=1,SUM($M$2:M236),"")</f>
        <v/>
      </c>
      <c r="O236" s="26" t="n">
        <f aca="false">IF(OR($J236="Out of stock",$J236="Low stock",$J236="Not counted"),1,0)</f>
        <v>1</v>
      </c>
      <c r="P236" s="26" t="n">
        <f aca="false">IF(O236=1,SUM($O$2:O236),"")</f>
        <v>53</v>
      </c>
    </row>
    <row r="237" customFormat="false" ht="15" hidden="false" customHeight="false" outlineLevel="0" collapsed="false">
      <c r="A237" s="10" t="s">
        <v>641</v>
      </c>
      <c r="B237" s="10" t="s">
        <v>642</v>
      </c>
      <c r="C237" s="10" t="s">
        <v>42</v>
      </c>
      <c r="D237" s="10" t="s">
        <v>603</v>
      </c>
      <c r="E237" s="19" t="s">
        <v>162</v>
      </c>
      <c r="F237" s="23" t="n">
        <v>0</v>
      </c>
      <c r="G237" s="11" t="n">
        <f aca="false">SUMIFS('Issue Log'!$G$2:$G$501,'Issue Log'!$B$2:$B$501,$A237,'Issue Log'!$J$2:$J$501,"Out")</f>
        <v>0</v>
      </c>
      <c r="H237" s="11" t="n">
        <f aca="false">IF($F237="","",$F237-$G237)</f>
        <v>0</v>
      </c>
      <c r="I237" s="23" t="n">
        <v>5</v>
      </c>
      <c r="J237" s="11" t="str">
        <f aca="false">IF($F237="","Not counted",IF($H237&lt;=0,"Out of stock",IF($H237&lt;$I237,"Low stock","In stock")))</f>
        <v>Out of stock</v>
      </c>
      <c r="K237" s="5" t="s">
        <v>175</v>
      </c>
      <c r="M237" s="26" t="n">
        <f aca="false">IF(Search!$C$4="",0,IF(ISNUMBER(SEARCH(Search!$C$4,$A237&amp;" "&amp;$B237&amp;" "&amp;$C237&amp;" "&amp;$E237)),1,0))</f>
        <v>0</v>
      </c>
      <c r="N237" s="0" t="str">
        <f aca="false">IF(M237=1,SUM($M$2:M237),"")</f>
        <v/>
      </c>
      <c r="O237" s="26" t="n">
        <f aca="false">IF(OR($J237="Out of stock",$J237="Low stock",$J237="Not counted"),1,0)</f>
        <v>1</v>
      </c>
      <c r="P237" s="26" t="n">
        <f aca="false">IF(O237=1,SUM($O$2:O237),"")</f>
        <v>54</v>
      </c>
    </row>
    <row r="238" customFormat="false" ht="15" hidden="false" customHeight="false" outlineLevel="0" collapsed="false">
      <c r="A238" s="10" t="s">
        <v>643</v>
      </c>
      <c r="B238" s="10" t="s">
        <v>644</v>
      </c>
      <c r="C238" s="10" t="s">
        <v>59</v>
      </c>
      <c r="D238" s="10" t="s">
        <v>603</v>
      </c>
      <c r="E238" s="19" t="s">
        <v>162</v>
      </c>
      <c r="F238" s="23" t="n">
        <v>0</v>
      </c>
      <c r="G238" s="11" t="n">
        <f aca="false">SUMIFS('Issue Log'!$G$2:$G$501,'Issue Log'!$B$2:$B$501,$A238,'Issue Log'!$J$2:$J$501,"Out")</f>
        <v>0</v>
      </c>
      <c r="H238" s="11" t="n">
        <f aca="false">IF($F238="","",$F238-$G238)</f>
        <v>0</v>
      </c>
      <c r="I238" s="23" t="n">
        <v>2</v>
      </c>
      <c r="J238" s="11" t="str">
        <f aca="false">IF($F238="","Not counted",IF($H238&lt;=0,"Out of stock",IF($H238&lt;$I238,"Low stock","In stock")))</f>
        <v>Out of stock</v>
      </c>
      <c r="K238" s="5" t="s">
        <v>175</v>
      </c>
      <c r="M238" s="26" t="n">
        <f aca="false">IF(Search!$C$4="",0,IF(ISNUMBER(SEARCH(Search!$C$4,$A238&amp;" "&amp;$B238&amp;" "&amp;$C238&amp;" "&amp;$E238)),1,0))</f>
        <v>0</v>
      </c>
      <c r="N238" s="0" t="str">
        <f aca="false">IF(M238=1,SUM($M$2:M238),"")</f>
        <v/>
      </c>
      <c r="O238" s="26" t="n">
        <f aca="false">IF(OR($J238="Out of stock",$J238="Low stock",$J238="Not counted"),1,0)</f>
        <v>1</v>
      </c>
      <c r="P238" s="26" t="n">
        <f aca="false">IF(O238=1,SUM($O$2:O238),"")</f>
        <v>55</v>
      </c>
    </row>
    <row r="239" customFormat="false" ht="15" hidden="false" customHeight="false" outlineLevel="0" collapsed="false">
      <c r="A239" s="10" t="s">
        <v>645</v>
      </c>
      <c r="B239" s="10" t="s">
        <v>646</v>
      </c>
      <c r="C239" s="10" t="s">
        <v>68</v>
      </c>
      <c r="D239" s="10" t="s">
        <v>603</v>
      </c>
      <c r="E239" s="19" t="s">
        <v>162</v>
      </c>
      <c r="F239" s="23" t="n">
        <v>0</v>
      </c>
      <c r="G239" s="11" t="n">
        <f aca="false">SUMIFS('Issue Log'!$G$2:$G$501,'Issue Log'!$B$2:$B$501,$A239,'Issue Log'!$J$2:$J$501,"Out")</f>
        <v>0</v>
      </c>
      <c r="H239" s="11" t="n">
        <f aca="false">IF($F239="","",$F239-$G239)</f>
        <v>0</v>
      </c>
      <c r="I239" s="23" t="n">
        <v>10</v>
      </c>
      <c r="J239" s="11" t="str">
        <f aca="false">IF($F239="","Not counted",IF($H239&lt;=0,"Out of stock",IF($H239&lt;$I239,"Low stock","In stock")))</f>
        <v>Out of stock</v>
      </c>
      <c r="K239" s="5" t="s">
        <v>175</v>
      </c>
      <c r="M239" s="26" t="n">
        <f aca="false">IF(Search!$C$4="",0,IF(ISNUMBER(SEARCH(Search!$C$4,$A239&amp;" "&amp;$B239&amp;" "&amp;$C239&amp;" "&amp;$E239)),1,0))</f>
        <v>1</v>
      </c>
      <c r="N239" s="26" t="n">
        <f aca="false">IF(M239=1,SUM($M$2:M239),"")</f>
        <v>22</v>
      </c>
      <c r="O239" s="26" t="n">
        <f aca="false">IF(OR($J239="Out of stock",$J239="Low stock",$J239="Not counted"),1,0)</f>
        <v>1</v>
      </c>
      <c r="P239" s="26" t="n">
        <f aca="false">IF(O239=1,SUM($O$2:O239),"")</f>
        <v>56</v>
      </c>
    </row>
    <row r="240" customFormat="false" ht="15" hidden="false" customHeight="false" outlineLevel="0" collapsed="false">
      <c r="A240" s="10" t="s">
        <v>647</v>
      </c>
      <c r="B240" s="10" t="s">
        <v>648</v>
      </c>
      <c r="C240" s="10" t="s">
        <v>42</v>
      </c>
      <c r="D240" s="10" t="s">
        <v>603</v>
      </c>
      <c r="E240" s="19" t="s">
        <v>162</v>
      </c>
      <c r="F240" s="23" t="n">
        <v>5</v>
      </c>
      <c r="G240" s="11" t="n">
        <f aca="false">SUMIFS('Issue Log'!$G$2:$G$501,'Issue Log'!$B$2:$B$501,$A240,'Issue Log'!$J$2:$J$501,"Out")</f>
        <v>0</v>
      </c>
      <c r="H240" s="11" t="n">
        <f aca="false">IF($F240="","",$F240-$G240)</f>
        <v>5</v>
      </c>
      <c r="I240" s="23" t="n">
        <v>5</v>
      </c>
      <c r="J240" s="11" t="str">
        <f aca="false">IF($F240="","Not counted",IF($H240&lt;=0,"Out of stock",IF($H240&lt;$I240,"Low stock","In stock")))</f>
        <v>In stock</v>
      </c>
      <c r="K240" s="5" t="s">
        <v>175</v>
      </c>
      <c r="M240" s="26" t="n">
        <f aca="false">IF(Search!$C$4="",0,IF(ISNUMBER(SEARCH(Search!$C$4,$A240&amp;" "&amp;$B240&amp;" "&amp;$C240&amp;" "&amp;$E240)),1,0))</f>
        <v>0</v>
      </c>
      <c r="N240" s="0" t="str">
        <f aca="false">IF(M240=1,SUM($M$2:M240),"")</f>
        <v/>
      </c>
      <c r="O240" s="26" t="n">
        <f aca="false">IF(OR($J240="Out of stock",$J240="Low stock",$J240="Not counted"),1,0)</f>
        <v>0</v>
      </c>
      <c r="P240" s="0" t="str">
        <f aca="false">IF(O240=1,SUM($O$2:O240),"")</f>
        <v/>
      </c>
    </row>
    <row r="241" customFormat="false" ht="15" hidden="false" customHeight="false" outlineLevel="0" collapsed="false">
      <c r="A241" s="10" t="s">
        <v>649</v>
      </c>
      <c r="B241" s="10" t="s">
        <v>650</v>
      </c>
      <c r="C241" s="10" t="s">
        <v>50</v>
      </c>
      <c r="D241" s="10" t="s">
        <v>603</v>
      </c>
      <c r="E241" s="19" t="s">
        <v>162</v>
      </c>
      <c r="F241" s="23" t="n">
        <v>0</v>
      </c>
      <c r="G241" s="11" t="n">
        <f aca="false">SUMIFS('Issue Log'!$G$2:$G$501,'Issue Log'!$B$2:$B$501,$A241,'Issue Log'!$J$2:$J$501,"Out")</f>
        <v>0</v>
      </c>
      <c r="H241" s="11" t="n">
        <f aca="false">IF($F241="","",$F241-$G241)</f>
        <v>0</v>
      </c>
      <c r="I241" s="23" t="n">
        <v>4</v>
      </c>
      <c r="J241" s="11" t="str">
        <f aca="false">IF($F241="","Not counted",IF($H241&lt;=0,"Out of stock",IF($H241&lt;$I241,"Low stock","In stock")))</f>
        <v>Out of stock</v>
      </c>
      <c r="K241" s="5" t="s">
        <v>175</v>
      </c>
      <c r="M241" s="26" t="n">
        <f aca="false">IF(Search!$C$4="",0,IF(ISNUMBER(SEARCH(Search!$C$4,$A241&amp;" "&amp;$B241&amp;" "&amp;$C241&amp;" "&amp;$E241)),1,0))</f>
        <v>0</v>
      </c>
      <c r="N241" s="0" t="str">
        <f aca="false">IF(M241=1,SUM($M$2:M241),"")</f>
        <v/>
      </c>
      <c r="O241" s="26" t="n">
        <f aca="false">IF(OR($J241="Out of stock",$J241="Low stock",$J241="Not counted"),1,0)</f>
        <v>1</v>
      </c>
      <c r="P241" s="26" t="n">
        <f aca="false">IF(O241=1,SUM($O$2:O241),"")</f>
        <v>57</v>
      </c>
    </row>
    <row r="242" customFormat="false" ht="15" hidden="false" customHeight="false" outlineLevel="0" collapsed="false">
      <c r="A242" s="10" t="s">
        <v>651</v>
      </c>
      <c r="B242" s="10" t="s">
        <v>652</v>
      </c>
      <c r="C242" s="10" t="s">
        <v>74</v>
      </c>
      <c r="D242" s="10" t="s">
        <v>603</v>
      </c>
      <c r="E242" s="19" t="s">
        <v>162</v>
      </c>
      <c r="F242" s="23" t="n">
        <v>0</v>
      </c>
      <c r="G242" s="11" t="n">
        <f aca="false">SUMIFS('Issue Log'!$G$2:$G$501,'Issue Log'!$B$2:$B$501,$A242,'Issue Log'!$J$2:$J$501,"Out")</f>
        <v>0</v>
      </c>
      <c r="H242" s="11" t="n">
        <f aca="false">IF($F242="","",$F242-$G242)</f>
        <v>0</v>
      </c>
      <c r="I242" s="23" t="n">
        <v>4</v>
      </c>
      <c r="J242" s="11" t="str">
        <f aca="false">IF($F242="","Not counted",IF($H242&lt;=0,"Out of stock",IF($H242&lt;$I242,"Low stock","In stock")))</f>
        <v>Out of stock</v>
      </c>
      <c r="K242" s="5" t="s">
        <v>175</v>
      </c>
      <c r="M242" s="26" t="n">
        <f aca="false">IF(Search!$C$4="",0,IF(ISNUMBER(SEARCH(Search!$C$4,$A242&amp;" "&amp;$B242&amp;" "&amp;$C242&amp;" "&amp;$E242)),1,0))</f>
        <v>0</v>
      </c>
      <c r="N242" s="0" t="str">
        <f aca="false">IF(M242=1,SUM($M$2:M242),"")</f>
        <v/>
      </c>
      <c r="O242" s="26" t="n">
        <f aca="false">IF(OR($J242="Out of stock",$J242="Low stock",$J242="Not counted"),1,0)</f>
        <v>1</v>
      </c>
      <c r="P242" s="26" t="n">
        <f aca="false">IF(O242=1,SUM($O$2:O242),"")</f>
        <v>58</v>
      </c>
    </row>
    <row r="243" customFormat="false" ht="15" hidden="false" customHeight="false" outlineLevel="0" collapsed="false">
      <c r="A243" s="10" t="s">
        <v>653</v>
      </c>
      <c r="B243" s="10" t="s">
        <v>654</v>
      </c>
      <c r="C243" s="10" t="s">
        <v>68</v>
      </c>
      <c r="D243" s="10" t="s">
        <v>603</v>
      </c>
      <c r="E243" s="19" t="s">
        <v>162</v>
      </c>
      <c r="F243" s="23" t="n">
        <v>5</v>
      </c>
      <c r="G243" s="11" t="n">
        <f aca="false">SUMIFS('Issue Log'!$G$2:$G$501,'Issue Log'!$B$2:$B$501,$A243,'Issue Log'!$J$2:$J$501,"Out")</f>
        <v>0</v>
      </c>
      <c r="H243" s="11" t="n">
        <f aca="false">IF($F243="","",$F243-$G243)</f>
        <v>5</v>
      </c>
      <c r="I243" s="23" t="n">
        <v>10</v>
      </c>
      <c r="J243" s="11" t="str">
        <f aca="false">IF($F243="","Not counted",IF($H243&lt;=0,"Out of stock",IF($H243&lt;$I243,"Low stock","In stock")))</f>
        <v>Low stock</v>
      </c>
      <c r="K243" s="5" t="s">
        <v>175</v>
      </c>
      <c r="M243" s="26" t="n">
        <f aca="false">IF(Search!$C$4="",0,IF(ISNUMBER(SEARCH(Search!$C$4,$A243&amp;" "&amp;$B243&amp;" "&amp;$C243&amp;" "&amp;$E243)),1,0))</f>
        <v>1</v>
      </c>
      <c r="N243" s="26" t="n">
        <f aca="false">IF(M243=1,SUM($M$2:M243),"")</f>
        <v>23</v>
      </c>
      <c r="O243" s="26" t="n">
        <f aca="false">IF(OR($J243="Out of stock",$J243="Low stock",$J243="Not counted"),1,0)</f>
        <v>1</v>
      </c>
      <c r="P243" s="26" t="n">
        <f aca="false">IF(O243=1,SUM($O$2:O243),"")</f>
        <v>59</v>
      </c>
    </row>
    <row r="244" customFormat="false" ht="15" hidden="false" customHeight="false" outlineLevel="0" collapsed="false">
      <c r="A244" s="10" t="s">
        <v>655</v>
      </c>
      <c r="B244" s="10" t="s">
        <v>656</v>
      </c>
      <c r="C244" s="10" t="s">
        <v>37</v>
      </c>
      <c r="D244" s="10" t="s">
        <v>603</v>
      </c>
      <c r="E244" s="19" t="s">
        <v>162</v>
      </c>
      <c r="F244" s="23" t="n">
        <v>15</v>
      </c>
      <c r="G244" s="11" t="n">
        <f aca="false">SUMIFS('Issue Log'!$G$2:$G$501,'Issue Log'!$B$2:$B$501,$A244,'Issue Log'!$J$2:$J$501,"Out")</f>
        <v>0</v>
      </c>
      <c r="H244" s="11" t="n">
        <f aca="false">IF($F244="","",$F244-$G244)</f>
        <v>15</v>
      </c>
      <c r="I244" s="23" t="n">
        <v>10</v>
      </c>
      <c r="J244" s="11" t="str">
        <f aca="false">IF($F244="","Not counted",IF($H244&lt;=0,"Out of stock",IF($H244&lt;$I244,"Low stock","In stock")))</f>
        <v>In stock</v>
      </c>
      <c r="K244" s="5" t="s">
        <v>175</v>
      </c>
      <c r="M244" s="26" t="n">
        <f aca="false">IF(Search!$C$4="",0,IF(ISNUMBER(SEARCH(Search!$C$4,$A244&amp;" "&amp;$B244&amp;" "&amp;$C244&amp;" "&amp;$E244)),1,0))</f>
        <v>0</v>
      </c>
      <c r="N244" s="0" t="str">
        <f aca="false">IF(M244=1,SUM($M$2:M244),"")</f>
        <v/>
      </c>
      <c r="O244" s="26" t="n">
        <f aca="false">IF(OR($J244="Out of stock",$J244="Low stock",$J244="Not counted"),1,0)</f>
        <v>0</v>
      </c>
      <c r="P244" s="0" t="str">
        <f aca="false">IF(O244=1,SUM($O$2:O244),"")</f>
        <v/>
      </c>
    </row>
    <row r="245" customFormat="false" ht="15" hidden="false" customHeight="false" outlineLevel="0" collapsed="false">
      <c r="A245" s="10" t="s">
        <v>657</v>
      </c>
      <c r="B245" s="10" t="s">
        <v>658</v>
      </c>
      <c r="C245" s="10" t="s">
        <v>37</v>
      </c>
      <c r="D245" s="10" t="s">
        <v>603</v>
      </c>
      <c r="E245" s="19" t="s">
        <v>162</v>
      </c>
      <c r="F245" s="23" t="n">
        <v>0</v>
      </c>
      <c r="G245" s="11" t="n">
        <f aca="false">SUMIFS('Issue Log'!$G$2:$G$501,'Issue Log'!$B$2:$B$501,$A245,'Issue Log'!$J$2:$J$501,"Out")</f>
        <v>0</v>
      </c>
      <c r="H245" s="11" t="n">
        <f aca="false">IF($F245="","",$F245-$G245)</f>
        <v>0</v>
      </c>
      <c r="I245" s="23" t="n">
        <v>10</v>
      </c>
      <c r="J245" s="11" t="str">
        <f aca="false">IF($F245="","Not counted",IF($H245&lt;=0,"Out of stock",IF($H245&lt;$I245,"Low stock","In stock")))</f>
        <v>Out of stock</v>
      </c>
      <c r="K245" s="5" t="s">
        <v>175</v>
      </c>
      <c r="M245" s="26" t="n">
        <f aca="false">IF(Search!$C$4="",0,IF(ISNUMBER(SEARCH(Search!$C$4,$A245&amp;" "&amp;$B245&amp;" "&amp;$C245&amp;" "&amp;$E245)),1,0))</f>
        <v>0</v>
      </c>
      <c r="N245" s="0" t="str">
        <f aca="false">IF(M245=1,SUM($M$2:M245),"")</f>
        <v/>
      </c>
      <c r="O245" s="26" t="n">
        <f aca="false">IF(OR($J245="Out of stock",$J245="Low stock",$J245="Not counted"),1,0)</f>
        <v>1</v>
      </c>
      <c r="P245" s="26" t="n">
        <f aca="false">IF(O245=1,SUM($O$2:O245),"")</f>
        <v>60</v>
      </c>
    </row>
    <row r="246" customFormat="false" ht="15" hidden="false" customHeight="false" outlineLevel="0" collapsed="false">
      <c r="A246" s="10" t="s">
        <v>659</v>
      </c>
      <c r="B246" s="10" t="s">
        <v>660</v>
      </c>
      <c r="C246" s="10" t="s">
        <v>37</v>
      </c>
      <c r="D246" s="10" t="s">
        <v>603</v>
      </c>
      <c r="E246" s="19" t="s">
        <v>162</v>
      </c>
      <c r="F246" s="23" t="n">
        <v>5</v>
      </c>
      <c r="G246" s="11" t="n">
        <f aca="false">SUMIFS('Issue Log'!$G$2:$G$501,'Issue Log'!$B$2:$B$501,$A246,'Issue Log'!$J$2:$J$501,"Out")</f>
        <v>0</v>
      </c>
      <c r="H246" s="11" t="n">
        <f aca="false">IF($F246="","",$F246-$G246)</f>
        <v>5</v>
      </c>
      <c r="I246" s="23" t="n">
        <v>10</v>
      </c>
      <c r="J246" s="11" t="str">
        <f aca="false">IF($F246="","Not counted",IF($H246&lt;=0,"Out of stock",IF($H246&lt;$I246,"Low stock","In stock")))</f>
        <v>Low stock</v>
      </c>
      <c r="K246" s="5" t="s">
        <v>175</v>
      </c>
      <c r="M246" s="26" t="n">
        <f aca="false">IF(Search!$C$4="",0,IF(ISNUMBER(SEARCH(Search!$C$4,$A246&amp;" "&amp;$B246&amp;" "&amp;$C246&amp;" "&amp;$E246)),1,0))</f>
        <v>0</v>
      </c>
      <c r="N246" s="0" t="str">
        <f aca="false">IF(M246=1,SUM($M$2:M246),"")</f>
        <v/>
      </c>
      <c r="O246" s="26" t="n">
        <f aca="false">IF(OR($J246="Out of stock",$J246="Low stock",$J246="Not counted"),1,0)</f>
        <v>1</v>
      </c>
      <c r="P246" s="26" t="n">
        <f aca="false">IF(O246=1,SUM($O$2:O246),"")</f>
        <v>61</v>
      </c>
    </row>
    <row r="247" customFormat="false" ht="15" hidden="false" customHeight="false" outlineLevel="0" collapsed="false">
      <c r="A247" s="10" t="s">
        <v>661</v>
      </c>
      <c r="B247" s="10" t="s">
        <v>660</v>
      </c>
      <c r="C247" s="10" t="s">
        <v>37</v>
      </c>
      <c r="D247" s="10" t="s">
        <v>603</v>
      </c>
      <c r="E247" s="19" t="s">
        <v>162</v>
      </c>
      <c r="F247" s="23" t="n">
        <v>30</v>
      </c>
      <c r="G247" s="11" t="n">
        <f aca="false">SUMIFS('Issue Log'!$G$2:$G$501,'Issue Log'!$B$2:$B$501,$A247,'Issue Log'!$J$2:$J$501,"Out")</f>
        <v>0</v>
      </c>
      <c r="H247" s="11" t="n">
        <f aca="false">IF($F247="","",$F247-$G247)</f>
        <v>30</v>
      </c>
      <c r="I247" s="23" t="n">
        <v>10</v>
      </c>
      <c r="J247" s="11" t="str">
        <f aca="false">IF($F247="","Not counted",IF($H247&lt;=0,"Out of stock",IF($H247&lt;$I247,"Low stock","In stock")))</f>
        <v>In stock</v>
      </c>
      <c r="K247" s="5" t="s">
        <v>175</v>
      </c>
      <c r="M247" s="26" t="n">
        <f aca="false">IF(Search!$C$4="",0,IF(ISNUMBER(SEARCH(Search!$C$4,$A247&amp;" "&amp;$B247&amp;" "&amp;$C247&amp;" "&amp;$E247)),1,0))</f>
        <v>0</v>
      </c>
      <c r="N247" s="0" t="str">
        <f aca="false">IF(M247=1,SUM($M$2:M247),"")</f>
        <v/>
      </c>
      <c r="O247" s="26" t="n">
        <f aca="false">IF(OR($J247="Out of stock",$J247="Low stock",$J247="Not counted"),1,0)</f>
        <v>0</v>
      </c>
      <c r="P247" s="0" t="str">
        <f aca="false">IF(O247=1,SUM($O$2:O247),"")</f>
        <v/>
      </c>
    </row>
    <row r="248" customFormat="false" ht="15" hidden="false" customHeight="false" outlineLevel="0" collapsed="false">
      <c r="A248" s="10" t="s">
        <v>662</v>
      </c>
      <c r="B248" s="10" t="s">
        <v>663</v>
      </c>
      <c r="C248" s="10" t="s">
        <v>37</v>
      </c>
      <c r="D248" s="10" t="s">
        <v>603</v>
      </c>
      <c r="E248" s="19" t="s">
        <v>162</v>
      </c>
      <c r="F248" s="23" t="n">
        <v>45</v>
      </c>
      <c r="G248" s="11" t="n">
        <f aca="false">SUMIFS('Issue Log'!$G$2:$G$501,'Issue Log'!$B$2:$B$501,$A248,'Issue Log'!$J$2:$J$501,"Out")</f>
        <v>0</v>
      </c>
      <c r="H248" s="11" t="n">
        <f aca="false">IF($F248="","",$F248-$G248)</f>
        <v>45</v>
      </c>
      <c r="I248" s="23" t="n">
        <v>10</v>
      </c>
      <c r="J248" s="11" t="str">
        <f aca="false">IF($F248="","Not counted",IF($H248&lt;=0,"Out of stock",IF($H248&lt;$I248,"Low stock","In stock")))</f>
        <v>In stock</v>
      </c>
      <c r="K248" s="5" t="s">
        <v>175</v>
      </c>
      <c r="M248" s="26" t="n">
        <f aca="false">IF(Search!$C$4="",0,IF(ISNUMBER(SEARCH(Search!$C$4,$A248&amp;" "&amp;$B248&amp;" "&amp;$C248&amp;" "&amp;$E248)),1,0))</f>
        <v>0</v>
      </c>
      <c r="N248" s="0" t="str">
        <f aca="false">IF(M248=1,SUM($M$2:M248),"")</f>
        <v/>
      </c>
      <c r="O248" s="26" t="n">
        <f aca="false">IF(OR($J248="Out of stock",$J248="Low stock",$J248="Not counted"),1,0)</f>
        <v>0</v>
      </c>
      <c r="P248" s="0" t="str">
        <f aca="false">IF(O248=1,SUM($O$2:O248),"")</f>
        <v/>
      </c>
    </row>
    <row r="249" customFormat="false" ht="15" hidden="false" customHeight="false" outlineLevel="0" collapsed="false">
      <c r="A249" s="10" t="s">
        <v>664</v>
      </c>
      <c r="B249" s="10" t="s">
        <v>665</v>
      </c>
      <c r="C249" s="10" t="s">
        <v>37</v>
      </c>
      <c r="D249" s="10" t="s">
        <v>603</v>
      </c>
      <c r="E249" s="19" t="s">
        <v>162</v>
      </c>
      <c r="F249" s="23" t="n">
        <v>7</v>
      </c>
      <c r="G249" s="11" t="n">
        <f aca="false">SUMIFS('Issue Log'!$G$2:$G$501,'Issue Log'!$B$2:$B$501,$A249,'Issue Log'!$J$2:$J$501,"Out")</f>
        <v>0</v>
      </c>
      <c r="H249" s="11" t="n">
        <f aca="false">IF($F249="","",$F249-$G249)</f>
        <v>7</v>
      </c>
      <c r="I249" s="23" t="n">
        <v>10</v>
      </c>
      <c r="J249" s="11" t="str">
        <f aca="false">IF($F249="","Not counted",IF($H249&lt;=0,"Out of stock",IF($H249&lt;$I249,"Low stock","In stock")))</f>
        <v>Low stock</v>
      </c>
      <c r="K249" s="5" t="s">
        <v>175</v>
      </c>
      <c r="M249" s="26" t="n">
        <f aca="false">IF(Search!$C$4="",0,IF(ISNUMBER(SEARCH(Search!$C$4,$A249&amp;" "&amp;$B249&amp;" "&amp;$C249&amp;" "&amp;$E249)),1,0))</f>
        <v>0</v>
      </c>
      <c r="N249" s="0" t="str">
        <f aca="false">IF(M249=1,SUM($M$2:M249),"")</f>
        <v/>
      </c>
      <c r="O249" s="26" t="n">
        <f aca="false">IF(OR($J249="Out of stock",$J249="Low stock",$J249="Not counted"),1,0)</f>
        <v>1</v>
      </c>
      <c r="P249" s="26" t="n">
        <f aca="false">IF(O249=1,SUM($O$2:O249),"")</f>
        <v>62</v>
      </c>
    </row>
    <row r="250" customFormat="false" ht="15" hidden="false" customHeight="false" outlineLevel="0" collapsed="false">
      <c r="A250" s="10" t="s">
        <v>666</v>
      </c>
      <c r="B250" s="10" t="s">
        <v>667</v>
      </c>
      <c r="C250" s="10" t="s">
        <v>37</v>
      </c>
      <c r="D250" s="10" t="s">
        <v>603</v>
      </c>
      <c r="E250" s="19" t="s">
        <v>162</v>
      </c>
      <c r="F250" s="23" t="n">
        <v>10</v>
      </c>
      <c r="G250" s="11" t="n">
        <f aca="false">SUMIFS('Issue Log'!$G$2:$G$501,'Issue Log'!$B$2:$B$501,$A250,'Issue Log'!$J$2:$J$501,"Out")</f>
        <v>0</v>
      </c>
      <c r="H250" s="11" t="n">
        <f aca="false">IF($F250="","",$F250-$G250)</f>
        <v>10</v>
      </c>
      <c r="I250" s="23" t="n">
        <v>10</v>
      </c>
      <c r="J250" s="11" t="str">
        <f aca="false">IF($F250="","Not counted",IF($H250&lt;=0,"Out of stock",IF($H250&lt;$I250,"Low stock","In stock")))</f>
        <v>In stock</v>
      </c>
      <c r="K250" s="5" t="s">
        <v>175</v>
      </c>
      <c r="M250" s="26" t="n">
        <f aca="false">IF(Search!$C$4="",0,IF(ISNUMBER(SEARCH(Search!$C$4,$A250&amp;" "&amp;$B250&amp;" "&amp;$C250&amp;" "&amp;$E250)),1,0))</f>
        <v>0</v>
      </c>
      <c r="N250" s="0" t="str">
        <f aca="false">IF(M250=1,SUM($M$2:M250),"")</f>
        <v/>
      </c>
      <c r="O250" s="26" t="n">
        <f aca="false">IF(OR($J250="Out of stock",$J250="Low stock",$J250="Not counted"),1,0)</f>
        <v>0</v>
      </c>
      <c r="P250" s="0" t="str">
        <f aca="false">IF(O250=1,SUM($O$2:O250),"")</f>
        <v/>
      </c>
    </row>
    <row r="251" customFormat="false" ht="15" hidden="false" customHeight="false" outlineLevel="0" collapsed="false">
      <c r="A251" s="10" t="s">
        <v>668</v>
      </c>
      <c r="B251" s="10" t="s">
        <v>669</v>
      </c>
      <c r="C251" s="10" t="s">
        <v>59</v>
      </c>
      <c r="D251" s="10" t="s">
        <v>603</v>
      </c>
      <c r="E251" s="19" t="s">
        <v>162</v>
      </c>
      <c r="F251" s="23" t="n">
        <v>0</v>
      </c>
      <c r="G251" s="11" t="n">
        <f aca="false">SUMIFS('Issue Log'!$G$2:$G$501,'Issue Log'!$B$2:$B$501,$A251,'Issue Log'!$J$2:$J$501,"Out")</f>
        <v>0</v>
      </c>
      <c r="H251" s="11" t="n">
        <f aca="false">IF($F251="","",$F251-$G251)</f>
        <v>0</v>
      </c>
      <c r="I251" s="23" t="n">
        <v>2</v>
      </c>
      <c r="J251" s="11" t="str">
        <f aca="false">IF($F251="","Not counted",IF($H251&lt;=0,"Out of stock",IF($H251&lt;$I251,"Low stock","In stock")))</f>
        <v>Out of stock</v>
      </c>
      <c r="K251" s="5" t="s">
        <v>175</v>
      </c>
      <c r="M251" s="26" t="n">
        <f aca="false">IF(Search!$C$4="",0,IF(ISNUMBER(SEARCH(Search!$C$4,$A251&amp;" "&amp;$B251&amp;" "&amp;$C251&amp;" "&amp;$E251)),1,0))</f>
        <v>0</v>
      </c>
      <c r="N251" s="0" t="str">
        <f aca="false">IF(M251=1,SUM($M$2:M251),"")</f>
        <v/>
      </c>
      <c r="O251" s="26" t="n">
        <f aca="false">IF(OR($J251="Out of stock",$J251="Low stock",$J251="Not counted"),1,0)</f>
        <v>1</v>
      </c>
      <c r="P251" s="26" t="n">
        <f aca="false">IF(O251=1,SUM($O$2:O251),"")</f>
        <v>63</v>
      </c>
    </row>
    <row r="252" customFormat="false" ht="15" hidden="false" customHeight="false" outlineLevel="0" collapsed="false">
      <c r="A252" s="10" t="s">
        <v>670</v>
      </c>
      <c r="B252" s="10" t="s">
        <v>671</v>
      </c>
      <c r="C252" s="10" t="s">
        <v>37</v>
      </c>
      <c r="D252" s="10" t="s">
        <v>603</v>
      </c>
      <c r="E252" s="19" t="s">
        <v>162</v>
      </c>
      <c r="F252" s="23" t="n">
        <v>0</v>
      </c>
      <c r="G252" s="11" t="n">
        <f aca="false">SUMIFS('Issue Log'!$G$2:$G$501,'Issue Log'!$B$2:$B$501,$A252,'Issue Log'!$J$2:$J$501,"Out")</f>
        <v>0</v>
      </c>
      <c r="H252" s="11" t="n">
        <f aca="false">IF($F252="","",$F252-$G252)</f>
        <v>0</v>
      </c>
      <c r="I252" s="23" t="n">
        <v>10</v>
      </c>
      <c r="J252" s="11" t="str">
        <f aca="false">IF($F252="","Not counted",IF($H252&lt;=0,"Out of stock",IF($H252&lt;$I252,"Low stock","In stock")))</f>
        <v>Out of stock</v>
      </c>
      <c r="K252" s="5" t="s">
        <v>175</v>
      </c>
      <c r="M252" s="26" t="n">
        <f aca="false">IF(Search!$C$4="",0,IF(ISNUMBER(SEARCH(Search!$C$4,$A252&amp;" "&amp;$B252&amp;" "&amp;$C252&amp;" "&amp;$E252)),1,0))</f>
        <v>0</v>
      </c>
      <c r="N252" s="0" t="str">
        <f aca="false">IF(M252=1,SUM($M$2:M252),"")</f>
        <v/>
      </c>
      <c r="O252" s="26" t="n">
        <f aca="false">IF(OR($J252="Out of stock",$J252="Low stock",$J252="Not counted"),1,0)</f>
        <v>1</v>
      </c>
      <c r="P252" s="26" t="n">
        <f aca="false">IF(O252=1,SUM($O$2:O252),"")</f>
        <v>64</v>
      </c>
    </row>
    <row r="253" customFormat="false" ht="15" hidden="false" customHeight="false" outlineLevel="0" collapsed="false">
      <c r="A253" s="10" t="s">
        <v>672</v>
      </c>
      <c r="B253" s="10" t="s">
        <v>673</v>
      </c>
      <c r="C253" s="10" t="s">
        <v>37</v>
      </c>
      <c r="D253" s="10" t="s">
        <v>603</v>
      </c>
      <c r="E253" s="19" t="s">
        <v>162</v>
      </c>
      <c r="F253" s="23" t="n">
        <v>5</v>
      </c>
      <c r="G253" s="11" t="n">
        <f aca="false">SUMIFS('Issue Log'!$G$2:$G$501,'Issue Log'!$B$2:$B$501,$A253,'Issue Log'!$J$2:$J$501,"Out")</f>
        <v>0</v>
      </c>
      <c r="H253" s="11" t="n">
        <f aca="false">IF($F253="","",$F253-$G253)</f>
        <v>5</v>
      </c>
      <c r="I253" s="23" t="n">
        <v>10</v>
      </c>
      <c r="J253" s="11" t="str">
        <f aca="false">IF($F253="","Not counted",IF($H253&lt;=0,"Out of stock",IF($H253&lt;$I253,"Low stock","In stock")))</f>
        <v>Low stock</v>
      </c>
      <c r="K253" s="5" t="s">
        <v>175</v>
      </c>
      <c r="M253" s="26" t="n">
        <f aca="false">IF(Search!$C$4="",0,IF(ISNUMBER(SEARCH(Search!$C$4,$A253&amp;" "&amp;$B253&amp;" "&amp;$C253&amp;" "&amp;$E253)),1,0))</f>
        <v>0</v>
      </c>
      <c r="N253" s="0" t="str">
        <f aca="false">IF(M253=1,SUM($M$2:M253),"")</f>
        <v/>
      </c>
      <c r="O253" s="26" t="n">
        <f aca="false">IF(OR($J253="Out of stock",$J253="Low stock",$J253="Not counted"),1,0)</f>
        <v>1</v>
      </c>
      <c r="P253" s="26" t="n">
        <f aca="false">IF(O253=1,SUM($O$2:O253),"")</f>
        <v>65</v>
      </c>
    </row>
    <row r="254" customFormat="false" ht="15" hidden="false" customHeight="false" outlineLevel="0" collapsed="false">
      <c r="A254" s="10" t="s">
        <v>674</v>
      </c>
      <c r="B254" s="10" t="s">
        <v>675</v>
      </c>
      <c r="C254" s="10" t="s">
        <v>52</v>
      </c>
      <c r="D254" s="10" t="s">
        <v>603</v>
      </c>
      <c r="E254" s="19" t="s">
        <v>162</v>
      </c>
      <c r="F254" s="23" t="n">
        <v>5</v>
      </c>
      <c r="G254" s="11" t="n">
        <f aca="false">SUMIFS('Issue Log'!$G$2:$G$501,'Issue Log'!$B$2:$B$501,$A254,'Issue Log'!$J$2:$J$501,"Out")</f>
        <v>0</v>
      </c>
      <c r="H254" s="11" t="n">
        <f aca="false">IF($F254="","",$F254-$G254)</f>
        <v>5</v>
      </c>
      <c r="I254" s="23" t="n">
        <v>5</v>
      </c>
      <c r="J254" s="11" t="str">
        <f aca="false">IF($F254="","Not counted",IF($H254&lt;=0,"Out of stock",IF($H254&lt;$I254,"Low stock","In stock")))</f>
        <v>In stock</v>
      </c>
      <c r="K254" s="5" t="s">
        <v>175</v>
      </c>
      <c r="M254" s="26" t="n">
        <f aca="false">IF(Search!$C$4="",0,IF(ISNUMBER(SEARCH(Search!$C$4,$A254&amp;" "&amp;$B254&amp;" "&amp;$C254&amp;" "&amp;$E254)),1,0))</f>
        <v>0</v>
      </c>
      <c r="N254" s="0" t="str">
        <f aca="false">IF(M254=1,SUM($M$2:M254),"")</f>
        <v/>
      </c>
      <c r="O254" s="26" t="n">
        <f aca="false">IF(OR($J254="Out of stock",$J254="Low stock",$J254="Not counted"),1,0)</f>
        <v>0</v>
      </c>
      <c r="P254" s="0" t="str">
        <f aca="false">IF(O254=1,SUM($O$2:O254),"")</f>
        <v/>
      </c>
    </row>
    <row r="255" customFormat="false" ht="15" hidden="false" customHeight="false" outlineLevel="0" collapsed="false">
      <c r="A255" s="10" t="s">
        <v>676</v>
      </c>
      <c r="B255" s="10" t="s">
        <v>677</v>
      </c>
      <c r="C255" s="10" t="s">
        <v>59</v>
      </c>
      <c r="D255" s="10" t="s">
        <v>603</v>
      </c>
      <c r="E255" s="19" t="s">
        <v>162</v>
      </c>
      <c r="F255" s="23" t="n">
        <v>0</v>
      </c>
      <c r="G255" s="11" t="n">
        <f aca="false">SUMIFS('Issue Log'!$G$2:$G$501,'Issue Log'!$B$2:$B$501,$A255,'Issue Log'!$J$2:$J$501,"Out")</f>
        <v>0</v>
      </c>
      <c r="H255" s="11" t="n">
        <f aca="false">IF($F255="","",$F255-$G255)</f>
        <v>0</v>
      </c>
      <c r="I255" s="23" t="n">
        <v>2</v>
      </c>
      <c r="J255" s="11" t="str">
        <f aca="false">IF($F255="","Not counted",IF($H255&lt;=0,"Out of stock",IF($H255&lt;$I255,"Low stock","In stock")))</f>
        <v>Out of stock</v>
      </c>
      <c r="K255" s="5" t="s">
        <v>175</v>
      </c>
      <c r="M255" s="26" t="n">
        <f aca="false">IF(Search!$C$4="",0,IF(ISNUMBER(SEARCH(Search!$C$4,$A255&amp;" "&amp;$B255&amp;" "&amp;$C255&amp;" "&amp;$E255)),1,0))</f>
        <v>0</v>
      </c>
      <c r="N255" s="0" t="str">
        <f aca="false">IF(M255=1,SUM($M$2:M255),"")</f>
        <v/>
      </c>
      <c r="O255" s="26" t="n">
        <f aca="false">IF(OR($J255="Out of stock",$J255="Low stock",$J255="Not counted"),1,0)</f>
        <v>1</v>
      </c>
      <c r="P255" s="26" t="n">
        <f aca="false">IF(O255=1,SUM($O$2:O255),"")</f>
        <v>66</v>
      </c>
    </row>
    <row r="256" customFormat="false" ht="15" hidden="false" customHeight="false" outlineLevel="0" collapsed="false">
      <c r="A256" s="10" t="s">
        <v>678</v>
      </c>
      <c r="B256" s="10" t="s">
        <v>679</v>
      </c>
      <c r="C256" s="10" t="s">
        <v>52</v>
      </c>
      <c r="D256" s="10" t="s">
        <v>603</v>
      </c>
      <c r="E256" s="19" t="s">
        <v>162</v>
      </c>
      <c r="F256" s="23" t="n">
        <v>5</v>
      </c>
      <c r="G256" s="11" t="n">
        <f aca="false">SUMIFS('Issue Log'!$G$2:$G$501,'Issue Log'!$B$2:$B$501,$A256,'Issue Log'!$J$2:$J$501,"Out")</f>
        <v>0</v>
      </c>
      <c r="H256" s="11" t="n">
        <f aca="false">IF($F256="","",$F256-$G256)</f>
        <v>5</v>
      </c>
      <c r="I256" s="23" t="n">
        <v>5</v>
      </c>
      <c r="J256" s="11" t="str">
        <f aca="false">IF($F256="","Not counted",IF($H256&lt;=0,"Out of stock",IF($H256&lt;$I256,"Low stock","In stock")))</f>
        <v>In stock</v>
      </c>
      <c r="K256" s="5" t="s">
        <v>175</v>
      </c>
      <c r="M256" s="26" t="n">
        <f aca="false">IF(Search!$C$4="",0,IF(ISNUMBER(SEARCH(Search!$C$4,$A256&amp;" "&amp;$B256&amp;" "&amp;$C256&amp;" "&amp;$E256)),1,0))</f>
        <v>0</v>
      </c>
      <c r="N256" s="0" t="str">
        <f aca="false">IF(M256=1,SUM($M$2:M256),"")</f>
        <v/>
      </c>
      <c r="O256" s="26" t="n">
        <f aca="false">IF(OR($J256="Out of stock",$J256="Low stock",$J256="Not counted"),1,0)</f>
        <v>0</v>
      </c>
      <c r="P256" s="0" t="str">
        <f aca="false">IF(O256=1,SUM($O$2:O256),"")</f>
        <v/>
      </c>
    </row>
    <row r="257" customFormat="false" ht="15" hidden="false" customHeight="false" outlineLevel="0" collapsed="false">
      <c r="A257" s="10" t="s">
        <v>680</v>
      </c>
      <c r="B257" s="10" t="s">
        <v>681</v>
      </c>
      <c r="C257" s="10" t="s">
        <v>37</v>
      </c>
      <c r="D257" s="10" t="s">
        <v>603</v>
      </c>
      <c r="E257" s="19" t="s">
        <v>162</v>
      </c>
      <c r="F257" s="23" t="n">
        <v>20</v>
      </c>
      <c r="G257" s="11" t="n">
        <f aca="false">SUMIFS('Issue Log'!$G$2:$G$501,'Issue Log'!$B$2:$B$501,$A257,'Issue Log'!$J$2:$J$501,"Out")</f>
        <v>0</v>
      </c>
      <c r="H257" s="11" t="n">
        <f aca="false">IF($F257="","",$F257-$G257)</f>
        <v>20</v>
      </c>
      <c r="I257" s="23" t="n">
        <v>10</v>
      </c>
      <c r="J257" s="11" t="str">
        <f aca="false">IF($F257="","Not counted",IF($H257&lt;=0,"Out of stock",IF($H257&lt;$I257,"Low stock","In stock")))</f>
        <v>In stock</v>
      </c>
      <c r="K257" s="5" t="s">
        <v>175</v>
      </c>
      <c r="M257" s="26" t="n">
        <f aca="false">IF(Search!$C$4="",0,IF(ISNUMBER(SEARCH(Search!$C$4,$A257&amp;" "&amp;$B257&amp;" "&amp;$C257&amp;" "&amp;$E257)),1,0))</f>
        <v>0</v>
      </c>
      <c r="N257" s="0" t="str">
        <f aca="false">IF(M257=1,SUM($M$2:M257),"")</f>
        <v/>
      </c>
      <c r="O257" s="26" t="n">
        <f aca="false">IF(OR($J257="Out of stock",$J257="Low stock",$J257="Not counted"),1,0)</f>
        <v>0</v>
      </c>
      <c r="P257" s="0" t="str">
        <f aca="false">IF(O257=1,SUM($O$2:O257),"")</f>
        <v/>
      </c>
    </row>
    <row r="258" customFormat="false" ht="15" hidden="false" customHeight="false" outlineLevel="0" collapsed="false">
      <c r="A258" s="10" t="s">
        <v>682</v>
      </c>
      <c r="B258" s="10" t="s">
        <v>683</v>
      </c>
      <c r="C258" s="10" t="s">
        <v>37</v>
      </c>
      <c r="D258" s="10" t="s">
        <v>603</v>
      </c>
      <c r="E258" s="19" t="s">
        <v>162</v>
      </c>
      <c r="F258" s="23" t="n">
        <v>20</v>
      </c>
      <c r="G258" s="11" t="n">
        <f aca="false">SUMIFS('Issue Log'!$G$2:$G$501,'Issue Log'!$B$2:$B$501,$A258,'Issue Log'!$J$2:$J$501,"Out")</f>
        <v>0</v>
      </c>
      <c r="H258" s="11" t="n">
        <f aca="false">IF($F258="","",$F258-$G258)</f>
        <v>20</v>
      </c>
      <c r="I258" s="23" t="n">
        <v>10</v>
      </c>
      <c r="J258" s="11" t="str">
        <f aca="false">IF($F258="","Not counted",IF($H258&lt;=0,"Out of stock",IF($H258&lt;$I258,"Low stock","In stock")))</f>
        <v>In stock</v>
      </c>
      <c r="K258" s="5" t="s">
        <v>175</v>
      </c>
      <c r="M258" s="26" t="n">
        <f aca="false">IF(Search!$C$4="",0,IF(ISNUMBER(SEARCH(Search!$C$4,$A258&amp;" "&amp;$B258&amp;" "&amp;$C258&amp;" "&amp;$E258)),1,0))</f>
        <v>0</v>
      </c>
      <c r="N258" s="0" t="str">
        <f aca="false">IF(M258=1,SUM($M$2:M258),"")</f>
        <v/>
      </c>
      <c r="O258" s="26" t="n">
        <f aca="false">IF(OR($J258="Out of stock",$J258="Low stock",$J258="Not counted"),1,0)</f>
        <v>0</v>
      </c>
      <c r="P258" s="0" t="str">
        <f aca="false">IF(O258=1,SUM($O$2:O258),"")</f>
        <v/>
      </c>
    </row>
    <row r="259" customFormat="false" ht="15" hidden="false" customHeight="false" outlineLevel="0" collapsed="false">
      <c r="A259" s="10" t="s">
        <v>684</v>
      </c>
      <c r="B259" s="10" t="s">
        <v>685</v>
      </c>
      <c r="C259" s="10" t="s">
        <v>52</v>
      </c>
      <c r="D259" s="10" t="s">
        <v>603</v>
      </c>
      <c r="E259" s="19" t="s">
        <v>162</v>
      </c>
      <c r="F259" s="23" t="n">
        <v>5</v>
      </c>
      <c r="G259" s="11" t="n">
        <f aca="false">SUMIFS('Issue Log'!$G$2:$G$501,'Issue Log'!$B$2:$B$501,$A259,'Issue Log'!$J$2:$J$501,"Out")</f>
        <v>0</v>
      </c>
      <c r="H259" s="11" t="n">
        <f aca="false">IF($F259="","",$F259-$G259)</f>
        <v>5</v>
      </c>
      <c r="I259" s="23" t="n">
        <v>5</v>
      </c>
      <c r="J259" s="11" t="str">
        <f aca="false">IF($F259="","Not counted",IF($H259&lt;=0,"Out of stock",IF($H259&lt;$I259,"Low stock","In stock")))</f>
        <v>In stock</v>
      </c>
      <c r="K259" s="5" t="s">
        <v>175</v>
      </c>
      <c r="M259" s="26" t="n">
        <f aca="false">IF(Search!$C$4="",0,IF(ISNUMBER(SEARCH(Search!$C$4,$A259&amp;" "&amp;$B259&amp;" "&amp;$C259&amp;" "&amp;$E259)),1,0))</f>
        <v>0</v>
      </c>
      <c r="N259" s="0" t="str">
        <f aca="false">IF(M259=1,SUM($M$2:M259),"")</f>
        <v/>
      </c>
      <c r="O259" s="26" t="n">
        <f aca="false">IF(OR($J259="Out of stock",$J259="Low stock",$J259="Not counted"),1,0)</f>
        <v>0</v>
      </c>
      <c r="P259" s="0" t="str">
        <f aca="false">IF(O259=1,SUM($O$2:O259),"")</f>
        <v/>
      </c>
    </row>
    <row r="260" customFormat="false" ht="15" hidden="false" customHeight="false" outlineLevel="0" collapsed="false">
      <c r="A260" s="10" t="s">
        <v>686</v>
      </c>
      <c r="B260" s="10" t="s">
        <v>687</v>
      </c>
      <c r="C260" s="10" t="s">
        <v>52</v>
      </c>
      <c r="D260" s="10" t="s">
        <v>603</v>
      </c>
      <c r="E260" s="19" t="s">
        <v>162</v>
      </c>
      <c r="F260" s="23" t="n">
        <v>5</v>
      </c>
      <c r="G260" s="11" t="n">
        <f aca="false">SUMIFS('Issue Log'!$G$2:$G$501,'Issue Log'!$B$2:$B$501,$A260,'Issue Log'!$J$2:$J$501,"Out")</f>
        <v>0</v>
      </c>
      <c r="H260" s="11" t="n">
        <f aca="false">IF($F260="","",$F260-$G260)</f>
        <v>5</v>
      </c>
      <c r="I260" s="23" t="n">
        <v>5</v>
      </c>
      <c r="J260" s="11" t="str">
        <f aca="false">IF($F260="","Not counted",IF($H260&lt;=0,"Out of stock",IF($H260&lt;$I260,"Low stock","In stock")))</f>
        <v>In stock</v>
      </c>
      <c r="K260" s="5" t="s">
        <v>175</v>
      </c>
      <c r="M260" s="26" t="n">
        <f aca="false">IF(Search!$C$4="",0,IF(ISNUMBER(SEARCH(Search!$C$4,$A260&amp;" "&amp;$B260&amp;" "&amp;$C260&amp;" "&amp;$E260)),1,0))</f>
        <v>0</v>
      </c>
      <c r="N260" s="0" t="str">
        <f aca="false">IF(M260=1,SUM($M$2:M260),"")</f>
        <v/>
      </c>
      <c r="O260" s="26" t="n">
        <f aca="false">IF(OR($J260="Out of stock",$J260="Low stock",$J260="Not counted"),1,0)</f>
        <v>0</v>
      </c>
      <c r="P260" s="0" t="str">
        <f aca="false">IF(O260=1,SUM($O$2:O260),"")</f>
        <v/>
      </c>
    </row>
    <row r="261" customFormat="false" ht="15" hidden="false" customHeight="false" outlineLevel="0" collapsed="false">
      <c r="A261" s="10" t="s">
        <v>688</v>
      </c>
      <c r="B261" s="10" t="s">
        <v>689</v>
      </c>
      <c r="C261" s="10" t="s">
        <v>37</v>
      </c>
      <c r="D261" s="10" t="s">
        <v>603</v>
      </c>
      <c r="E261" s="19" t="s">
        <v>162</v>
      </c>
      <c r="F261" s="23" t="n">
        <v>20</v>
      </c>
      <c r="G261" s="11" t="n">
        <f aca="false">SUMIFS('Issue Log'!$G$2:$G$501,'Issue Log'!$B$2:$B$501,$A261,'Issue Log'!$J$2:$J$501,"Out")</f>
        <v>0</v>
      </c>
      <c r="H261" s="11" t="n">
        <f aca="false">IF($F261="","",$F261-$G261)</f>
        <v>20</v>
      </c>
      <c r="I261" s="23" t="n">
        <v>10</v>
      </c>
      <c r="J261" s="11" t="str">
        <f aca="false">IF($F261="","Not counted",IF($H261&lt;=0,"Out of stock",IF($H261&lt;$I261,"Low stock","In stock")))</f>
        <v>In stock</v>
      </c>
      <c r="K261" s="5" t="s">
        <v>175</v>
      </c>
      <c r="M261" s="26" t="n">
        <f aca="false">IF(Search!$C$4="",0,IF(ISNUMBER(SEARCH(Search!$C$4,$A261&amp;" "&amp;$B261&amp;" "&amp;$C261&amp;" "&amp;$E261)),1,0))</f>
        <v>0</v>
      </c>
      <c r="N261" s="0" t="str">
        <f aca="false">IF(M261=1,SUM($M$2:M261),"")</f>
        <v/>
      </c>
      <c r="O261" s="26" t="n">
        <f aca="false">IF(OR($J261="Out of stock",$J261="Low stock",$J261="Not counted"),1,0)</f>
        <v>0</v>
      </c>
      <c r="P261" s="0" t="str">
        <f aca="false">IF(O261=1,SUM($O$2:O261),"")</f>
        <v/>
      </c>
    </row>
    <row r="262" customFormat="false" ht="15" hidden="false" customHeight="false" outlineLevel="0" collapsed="false">
      <c r="A262" s="10" t="s">
        <v>690</v>
      </c>
      <c r="B262" s="10" t="s">
        <v>691</v>
      </c>
      <c r="C262" s="10" t="s">
        <v>37</v>
      </c>
      <c r="D262" s="10" t="s">
        <v>603</v>
      </c>
      <c r="E262" s="19" t="s">
        <v>162</v>
      </c>
      <c r="F262" s="23" t="n">
        <v>5</v>
      </c>
      <c r="G262" s="11" t="n">
        <f aca="false">SUMIFS('Issue Log'!$G$2:$G$501,'Issue Log'!$B$2:$B$501,$A262,'Issue Log'!$J$2:$J$501,"Out")</f>
        <v>0</v>
      </c>
      <c r="H262" s="11" t="n">
        <f aca="false">IF($F262="","",$F262-$G262)</f>
        <v>5</v>
      </c>
      <c r="I262" s="23" t="n">
        <v>10</v>
      </c>
      <c r="J262" s="11" t="str">
        <f aca="false">IF($F262="","Not counted",IF($H262&lt;=0,"Out of stock",IF($H262&lt;$I262,"Low stock","In stock")))</f>
        <v>Low stock</v>
      </c>
      <c r="K262" s="5" t="s">
        <v>175</v>
      </c>
      <c r="M262" s="26" t="n">
        <f aca="false">IF(Search!$C$4="",0,IF(ISNUMBER(SEARCH(Search!$C$4,$A262&amp;" "&amp;$B262&amp;" "&amp;$C262&amp;" "&amp;$E262)),1,0))</f>
        <v>0</v>
      </c>
      <c r="N262" s="0" t="str">
        <f aca="false">IF(M262=1,SUM($M$2:M262),"")</f>
        <v/>
      </c>
      <c r="O262" s="26" t="n">
        <f aca="false">IF(OR($J262="Out of stock",$J262="Low stock",$J262="Not counted"),1,0)</f>
        <v>1</v>
      </c>
      <c r="P262" s="26" t="n">
        <f aca="false">IF(O262=1,SUM($O$2:O262),"")</f>
        <v>67</v>
      </c>
    </row>
    <row r="263" customFormat="false" ht="15" hidden="false" customHeight="false" outlineLevel="0" collapsed="false">
      <c r="A263" s="10" t="s">
        <v>692</v>
      </c>
      <c r="B263" s="10" t="s">
        <v>693</v>
      </c>
      <c r="C263" s="10" t="s">
        <v>68</v>
      </c>
      <c r="D263" s="10" t="s">
        <v>603</v>
      </c>
      <c r="E263" s="19" t="s">
        <v>162</v>
      </c>
      <c r="F263" s="23" t="n">
        <v>5</v>
      </c>
      <c r="G263" s="11" t="n">
        <f aca="false">SUMIFS('Issue Log'!$G$2:$G$501,'Issue Log'!$B$2:$B$501,$A263,'Issue Log'!$J$2:$J$501,"Out")</f>
        <v>0</v>
      </c>
      <c r="H263" s="11" t="n">
        <f aca="false">IF($F263="","",$F263-$G263)</f>
        <v>5</v>
      </c>
      <c r="I263" s="23" t="n">
        <v>10</v>
      </c>
      <c r="J263" s="11" t="str">
        <f aca="false">IF($F263="","Not counted",IF($H263&lt;=0,"Out of stock",IF($H263&lt;$I263,"Low stock","In stock")))</f>
        <v>Low stock</v>
      </c>
      <c r="K263" s="5" t="s">
        <v>175</v>
      </c>
      <c r="M263" s="26" t="n">
        <f aca="false">IF(Search!$C$4="",0,IF(ISNUMBER(SEARCH(Search!$C$4,$A263&amp;" "&amp;$B263&amp;" "&amp;$C263&amp;" "&amp;$E263)),1,0))</f>
        <v>1</v>
      </c>
      <c r="N263" s="26" t="n">
        <f aca="false">IF(M263=1,SUM($M$2:M263),"")</f>
        <v>24</v>
      </c>
      <c r="O263" s="26" t="n">
        <f aca="false">IF(OR($J263="Out of stock",$J263="Low stock",$J263="Not counted"),1,0)</f>
        <v>1</v>
      </c>
      <c r="P263" s="26" t="n">
        <f aca="false">IF(O263=1,SUM($O$2:O263),"")</f>
        <v>68</v>
      </c>
    </row>
    <row r="264" customFormat="false" ht="15" hidden="false" customHeight="false" outlineLevel="0" collapsed="false">
      <c r="A264" s="10" t="s">
        <v>694</v>
      </c>
      <c r="B264" s="10" t="s">
        <v>695</v>
      </c>
      <c r="C264" s="10" t="s">
        <v>52</v>
      </c>
      <c r="D264" s="10" t="s">
        <v>603</v>
      </c>
      <c r="E264" s="19" t="s">
        <v>162</v>
      </c>
      <c r="F264" s="23" t="n">
        <v>5</v>
      </c>
      <c r="G264" s="11" t="n">
        <f aca="false">SUMIFS('Issue Log'!$G$2:$G$501,'Issue Log'!$B$2:$B$501,$A264,'Issue Log'!$J$2:$J$501,"Out")</f>
        <v>0</v>
      </c>
      <c r="H264" s="11" t="n">
        <f aca="false">IF($F264="","",$F264-$G264)</f>
        <v>5</v>
      </c>
      <c r="I264" s="23" t="n">
        <v>5</v>
      </c>
      <c r="J264" s="11" t="str">
        <f aca="false">IF($F264="","Not counted",IF($H264&lt;=0,"Out of stock",IF($H264&lt;$I264,"Low stock","In stock")))</f>
        <v>In stock</v>
      </c>
      <c r="K264" s="5" t="s">
        <v>175</v>
      </c>
      <c r="M264" s="26" t="n">
        <f aca="false">IF(Search!$C$4="",0,IF(ISNUMBER(SEARCH(Search!$C$4,$A264&amp;" "&amp;$B264&amp;" "&amp;$C264&amp;" "&amp;$E264)),1,0))</f>
        <v>0</v>
      </c>
      <c r="N264" s="0" t="str">
        <f aca="false">IF(M264=1,SUM($M$2:M264),"")</f>
        <v/>
      </c>
      <c r="O264" s="26" t="n">
        <f aca="false">IF(OR($J264="Out of stock",$J264="Low stock",$J264="Not counted"),1,0)</f>
        <v>0</v>
      </c>
      <c r="P264" s="0" t="str">
        <f aca="false">IF(O264=1,SUM($O$2:O264),"")</f>
        <v/>
      </c>
    </row>
    <row r="265" customFormat="false" ht="15" hidden="false" customHeight="false" outlineLevel="0" collapsed="false">
      <c r="A265" s="10" t="s">
        <v>696</v>
      </c>
      <c r="B265" s="10" t="s">
        <v>697</v>
      </c>
      <c r="C265" s="10" t="s">
        <v>68</v>
      </c>
      <c r="D265" s="10" t="s">
        <v>603</v>
      </c>
      <c r="E265" s="19" t="s">
        <v>162</v>
      </c>
      <c r="F265" s="23" t="n">
        <v>14</v>
      </c>
      <c r="G265" s="11" t="n">
        <f aca="false">SUMIFS('Issue Log'!$G$2:$G$501,'Issue Log'!$B$2:$B$501,$A265,'Issue Log'!$J$2:$J$501,"Out")</f>
        <v>0</v>
      </c>
      <c r="H265" s="11" t="n">
        <f aca="false">IF($F265="","",$F265-$G265)</f>
        <v>14</v>
      </c>
      <c r="I265" s="23" t="n">
        <v>10</v>
      </c>
      <c r="J265" s="11" t="str">
        <f aca="false">IF($F265="","Not counted",IF($H265&lt;=0,"Out of stock",IF($H265&lt;$I265,"Low stock","In stock")))</f>
        <v>In stock</v>
      </c>
      <c r="K265" s="5" t="s">
        <v>175</v>
      </c>
      <c r="M265" s="26" t="n">
        <f aca="false">IF(Search!$C$4="",0,IF(ISNUMBER(SEARCH(Search!$C$4,$A265&amp;" "&amp;$B265&amp;" "&amp;$C265&amp;" "&amp;$E265)),1,0))</f>
        <v>1</v>
      </c>
      <c r="N265" s="26" t="n">
        <f aca="false">IF(M265=1,SUM($M$2:M265),"")</f>
        <v>25</v>
      </c>
      <c r="O265" s="26" t="n">
        <f aca="false">IF(OR($J265="Out of stock",$J265="Low stock",$J265="Not counted"),1,0)</f>
        <v>0</v>
      </c>
      <c r="P265" s="0" t="str">
        <f aca="false">IF(O265=1,SUM($O$2:O265),"")</f>
        <v/>
      </c>
    </row>
    <row r="266" customFormat="false" ht="15" hidden="false" customHeight="false" outlineLevel="0" collapsed="false">
      <c r="A266" s="10" t="s">
        <v>698</v>
      </c>
      <c r="B266" s="10" t="s">
        <v>699</v>
      </c>
      <c r="C266" s="10" t="s">
        <v>42</v>
      </c>
      <c r="D266" s="10" t="s">
        <v>603</v>
      </c>
      <c r="E266" s="19" t="s">
        <v>162</v>
      </c>
      <c r="F266" s="23" t="n">
        <v>0</v>
      </c>
      <c r="G266" s="11" t="n">
        <f aca="false">SUMIFS('Issue Log'!$G$2:$G$501,'Issue Log'!$B$2:$B$501,$A266,'Issue Log'!$J$2:$J$501,"Out")</f>
        <v>0</v>
      </c>
      <c r="H266" s="11" t="n">
        <f aca="false">IF($F266="","",$F266-$G266)</f>
        <v>0</v>
      </c>
      <c r="I266" s="23" t="n">
        <v>5</v>
      </c>
      <c r="J266" s="11" t="str">
        <f aca="false">IF($F266="","Not counted",IF($H266&lt;=0,"Out of stock",IF($H266&lt;$I266,"Low stock","In stock")))</f>
        <v>Out of stock</v>
      </c>
      <c r="K266" s="5" t="s">
        <v>175</v>
      </c>
      <c r="M266" s="26" t="n">
        <f aca="false">IF(Search!$C$4="",0,IF(ISNUMBER(SEARCH(Search!$C$4,$A266&amp;" "&amp;$B266&amp;" "&amp;$C266&amp;" "&amp;$E266)),1,0))</f>
        <v>0</v>
      </c>
      <c r="N266" s="0" t="str">
        <f aca="false">IF(M266=1,SUM($M$2:M266),"")</f>
        <v/>
      </c>
      <c r="O266" s="26" t="n">
        <f aca="false">IF(OR($J266="Out of stock",$J266="Low stock",$J266="Not counted"),1,0)</f>
        <v>1</v>
      </c>
      <c r="P266" s="26" t="n">
        <f aca="false">IF(O266=1,SUM($O$2:O266),"")</f>
        <v>69</v>
      </c>
    </row>
    <row r="267" customFormat="false" ht="15" hidden="false" customHeight="false" outlineLevel="0" collapsed="false">
      <c r="A267" s="10" t="s">
        <v>700</v>
      </c>
      <c r="B267" s="10" t="s">
        <v>701</v>
      </c>
      <c r="C267" s="10" t="s">
        <v>68</v>
      </c>
      <c r="D267" s="10" t="s">
        <v>603</v>
      </c>
      <c r="E267" s="19" t="s">
        <v>162</v>
      </c>
      <c r="F267" s="23" t="n">
        <v>20</v>
      </c>
      <c r="G267" s="11" t="n">
        <f aca="false">SUMIFS('Issue Log'!$G$2:$G$501,'Issue Log'!$B$2:$B$501,$A267,'Issue Log'!$J$2:$J$501,"Out")</f>
        <v>0</v>
      </c>
      <c r="H267" s="11" t="n">
        <f aca="false">IF($F267="","",$F267-$G267)</f>
        <v>20</v>
      </c>
      <c r="I267" s="23" t="n">
        <v>10</v>
      </c>
      <c r="J267" s="11" t="str">
        <f aca="false">IF($F267="","Not counted",IF($H267&lt;=0,"Out of stock",IF($H267&lt;$I267,"Low stock","In stock")))</f>
        <v>In stock</v>
      </c>
      <c r="K267" s="5" t="s">
        <v>175</v>
      </c>
      <c r="M267" s="26" t="n">
        <f aca="false">IF(Search!$C$4="",0,IF(ISNUMBER(SEARCH(Search!$C$4,$A267&amp;" "&amp;$B267&amp;" "&amp;$C267&amp;" "&amp;$E267)),1,0))</f>
        <v>1</v>
      </c>
      <c r="N267" s="26" t="n">
        <f aca="false">IF(M267=1,SUM($M$2:M267),"")</f>
        <v>26</v>
      </c>
      <c r="O267" s="26" t="n">
        <f aca="false">IF(OR($J267="Out of stock",$J267="Low stock",$J267="Not counted"),1,0)</f>
        <v>0</v>
      </c>
      <c r="P267" s="0" t="str">
        <f aca="false">IF(O267=1,SUM($O$2:O267),"")</f>
        <v/>
      </c>
    </row>
    <row r="268" customFormat="false" ht="15" hidden="false" customHeight="false" outlineLevel="0" collapsed="false">
      <c r="A268" s="10" t="s">
        <v>702</v>
      </c>
      <c r="B268" s="10" t="s">
        <v>703</v>
      </c>
      <c r="C268" s="10" t="s">
        <v>62</v>
      </c>
      <c r="D268" s="10" t="s">
        <v>603</v>
      </c>
      <c r="E268" s="19" t="s">
        <v>162</v>
      </c>
      <c r="F268" s="23" t="n">
        <v>0</v>
      </c>
      <c r="G268" s="11" t="n">
        <f aca="false">SUMIFS('Issue Log'!$G$2:$G$501,'Issue Log'!$B$2:$B$501,$A268,'Issue Log'!$J$2:$J$501,"Out")</f>
        <v>0</v>
      </c>
      <c r="H268" s="11" t="n">
        <f aca="false">IF($F268="","",$F268-$G268)</f>
        <v>0</v>
      </c>
      <c r="I268" s="23" t="n">
        <v>5</v>
      </c>
      <c r="J268" s="11" t="str">
        <f aca="false">IF($F268="","Not counted",IF($H268&lt;=0,"Out of stock",IF($H268&lt;$I268,"Low stock","In stock")))</f>
        <v>Out of stock</v>
      </c>
      <c r="K268" s="5" t="s">
        <v>175</v>
      </c>
      <c r="M268" s="26" t="n">
        <f aca="false">IF(Search!$C$4="",0,IF(ISNUMBER(SEARCH(Search!$C$4,$A268&amp;" "&amp;$B268&amp;" "&amp;$C268&amp;" "&amp;$E268)),1,0))</f>
        <v>0</v>
      </c>
      <c r="N268" s="0" t="str">
        <f aca="false">IF(M268=1,SUM($M$2:M268),"")</f>
        <v/>
      </c>
      <c r="O268" s="26" t="n">
        <f aca="false">IF(OR($J268="Out of stock",$J268="Low stock",$J268="Not counted"),1,0)</f>
        <v>1</v>
      </c>
      <c r="P268" s="26" t="n">
        <f aca="false">IF(O268=1,SUM($O$2:O268),"")</f>
        <v>70</v>
      </c>
    </row>
    <row r="269" customFormat="false" ht="15" hidden="false" customHeight="false" outlineLevel="0" collapsed="false">
      <c r="A269" s="10" t="s">
        <v>704</v>
      </c>
      <c r="B269" s="10" t="s">
        <v>705</v>
      </c>
      <c r="C269" s="10" t="s">
        <v>68</v>
      </c>
      <c r="D269" s="10" t="s">
        <v>603</v>
      </c>
      <c r="E269" s="19" t="s">
        <v>162</v>
      </c>
      <c r="F269" s="23" t="n">
        <v>0</v>
      </c>
      <c r="G269" s="11" t="n">
        <f aca="false">SUMIFS('Issue Log'!$G$2:$G$501,'Issue Log'!$B$2:$B$501,$A269,'Issue Log'!$J$2:$J$501,"Out")</f>
        <v>0</v>
      </c>
      <c r="H269" s="11" t="n">
        <f aca="false">IF($F269="","",$F269-$G269)</f>
        <v>0</v>
      </c>
      <c r="I269" s="23" t="n">
        <v>10</v>
      </c>
      <c r="J269" s="11" t="str">
        <f aca="false">IF($F269="","Not counted",IF($H269&lt;=0,"Out of stock",IF($H269&lt;$I269,"Low stock","In stock")))</f>
        <v>Out of stock</v>
      </c>
      <c r="K269" s="5" t="s">
        <v>175</v>
      </c>
      <c r="M269" s="26" t="n">
        <f aca="false">IF(Search!$C$4="",0,IF(ISNUMBER(SEARCH(Search!$C$4,$A269&amp;" "&amp;$B269&amp;" "&amp;$C269&amp;" "&amp;$E269)),1,0))</f>
        <v>1</v>
      </c>
      <c r="N269" s="26" t="n">
        <f aca="false">IF(M269=1,SUM($M$2:M269),"")</f>
        <v>27</v>
      </c>
      <c r="O269" s="26" t="n">
        <f aca="false">IF(OR($J269="Out of stock",$J269="Low stock",$J269="Not counted"),1,0)</f>
        <v>1</v>
      </c>
      <c r="P269" s="26" t="n">
        <f aca="false">IF(O269=1,SUM($O$2:O269),"")</f>
        <v>71</v>
      </c>
    </row>
    <row r="270" customFormat="false" ht="15" hidden="false" customHeight="false" outlineLevel="0" collapsed="false">
      <c r="A270" s="10" t="s">
        <v>706</v>
      </c>
      <c r="B270" s="10" t="s">
        <v>707</v>
      </c>
      <c r="C270" s="10" t="s">
        <v>68</v>
      </c>
      <c r="D270" s="10" t="s">
        <v>603</v>
      </c>
      <c r="E270" s="19" t="s">
        <v>162</v>
      </c>
      <c r="F270" s="23" t="n">
        <v>4</v>
      </c>
      <c r="G270" s="11" t="n">
        <f aca="false">SUMIFS('Issue Log'!$G$2:$G$501,'Issue Log'!$B$2:$B$501,$A270,'Issue Log'!$J$2:$J$501,"Out")</f>
        <v>0</v>
      </c>
      <c r="H270" s="11" t="n">
        <f aca="false">IF($F270="","",$F270-$G270)</f>
        <v>4</v>
      </c>
      <c r="I270" s="23" t="n">
        <v>10</v>
      </c>
      <c r="J270" s="11" t="str">
        <f aca="false">IF($F270="","Not counted",IF($H270&lt;=0,"Out of stock",IF($H270&lt;$I270,"Low stock","In stock")))</f>
        <v>Low stock</v>
      </c>
      <c r="K270" s="5" t="s">
        <v>175</v>
      </c>
      <c r="M270" s="26" t="n">
        <f aca="false">IF(Search!$C$4="",0,IF(ISNUMBER(SEARCH(Search!$C$4,$A270&amp;" "&amp;$B270&amp;" "&amp;$C270&amp;" "&amp;$E270)),1,0))</f>
        <v>1</v>
      </c>
      <c r="N270" s="26" t="n">
        <f aca="false">IF(M270=1,SUM($M$2:M270),"")</f>
        <v>28</v>
      </c>
      <c r="O270" s="26" t="n">
        <f aca="false">IF(OR($J270="Out of stock",$J270="Low stock",$J270="Not counted"),1,0)</f>
        <v>1</v>
      </c>
      <c r="P270" s="26" t="n">
        <f aca="false">IF(O270=1,SUM($O$2:O270),"")</f>
        <v>72</v>
      </c>
    </row>
    <row r="271" customFormat="false" ht="15" hidden="false" customHeight="false" outlineLevel="0" collapsed="false">
      <c r="A271" s="10" t="s">
        <v>708</v>
      </c>
      <c r="B271" s="10" t="s">
        <v>709</v>
      </c>
      <c r="C271" s="10" t="s">
        <v>40</v>
      </c>
      <c r="D271" s="10" t="s">
        <v>603</v>
      </c>
      <c r="E271" s="19" t="s">
        <v>162</v>
      </c>
      <c r="F271" s="23" t="n">
        <v>0</v>
      </c>
      <c r="G271" s="11" t="n">
        <f aca="false">SUMIFS('Issue Log'!$G$2:$G$501,'Issue Log'!$B$2:$B$501,$A271,'Issue Log'!$J$2:$J$501,"Out")</f>
        <v>0</v>
      </c>
      <c r="H271" s="11" t="n">
        <f aca="false">IF($F271="","",$F271-$G271)</f>
        <v>0</v>
      </c>
      <c r="I271" s="23" t="n">
        <v>4</v>
      </c>
      <c r="J271" s="11" t="str">
        <f aca="false">IF($F271="","Not counted",IF($H271&lt;=0,"Out of stock",IF($H271&lt;$I271,"Low stock","In stock")))</f>
        <v>Out of stock</v>
      </c>
      <c r="K271" s="5" t="s">
        <v>175</v>
      </c>
      <c r="M271" s="26" t="n">
        <f aca="false">IF(Search!$C$4="",0,IF(ISNUMBER(SEARCH(Search!$C$4,$A271&amp;" "&amp;$B271&amp;" "&amp;$C271&amp;" "&amp;$E271)),1,0))</f>
        <v>0</v>
      </c>
      <c r="N271" s="0" t="str">
        <f aca="false">IF(M271=1,SUM($M$2:M271),"")</f>
        <v/>
      </c>
      <c r="O271" s="26" t="n">
        <f aca="false">IF(OR($J271="Out of stock",$J271="Low stock",$J271="Not counted"),1,0)</f>
        <v>1</v>
      </c>
      <c r="P271" s="26" t="n">
        <f aca="false">IF(O271=1,SUM($O$2:O271),"")</f>
        <v>73</v>
      </c>
    </row>
    <row r="272" customFormat="false" ht="15" hidden="false" customHeight="false" outlineLevel="0" collapsed="false">
      <c r="A272" s="10" t="s">
        <v>710</v>
      </c>
      <c r="B272" s="10" t="s">
        <v>711</v>
      </c>
      <c r="C272" s="10" t="s">
        <v>59</v>
      </c>
      <c r="D272" s="10" t="s">
        <v>603</v>
      </c>
      <c r="E272" s="19" t="s">
        <v>162</v>
      </c>
      <c r="F272" s="23" t="n">
        <v>0</v>
      </c>
      <c r="G272" s="11" t="n">
        <f aca="false">SUMIFS('Issue Log'!$G$2:$G$501,'Issue Log'!$B$2:$B$501,$A272,'Issue Log'!$J$2:$J$501,"Out")</f>
        <v>0</v>
      </c>
      <c r="H272" s="11" t="n">
        <f aca="false">IF($F272="","",$F272-$G272)</f>
        <v>0</v>
      </c>
      <c r="I272" s="23" t="n">
        <v>2</v>
      </c>
      <c r="J272" s="11" t="str">
        <f aca="false">IF($F272="","Not counted",IF($H272&lt;=0,"Out of stock",IF($H272&lt;$I272,"Low stock","In stock")))</f>
        <v>Out of stock</v>
      </c>
      <c r="K272" s="5" t="s">
        <v>175</v>
      </c>
      <c r="M272" s="26" t="n">
        <f aca="false">IF(Search!$C$4="",0,IF(ISNUMBER(SEARCH(Search!$C$4,$A272&amp;" "&amp;$B272&amp;" "&amp;$C272&amp;" "&amp;$E272)),1,0))</f>
        <v>0</v>
      </c>
      <c r="N272" s="0" t="str">
        <f aca="false">IF(M272=1,SUM($M$2:M272),"")</f>
        <v/>
      </c>
      <c r="O272" s="26" t="n">
        <f aca="false">IF(OR($J272="Out of stock",$J272="Low stock",$J272="Not counted"),1,0)</f>
        <v>1</v>
      </c>
      <c r="P272" s="26" t="n">
        <f aca="false">IF(O272=1,SUM($O$2:O272),"")</f>
        <v>74</v>
      </c>
    </row>
    <row r="273" customFormat="false" ht="15" hidden="false" customHeight="false" outlineLevel="0" collapsed="false">
      <c r="A273" s="10" t="s">
        <v>712</v>
      </c>
      <c r="B273" s="10" t="s">
        <v>713</v>
      </c>
      <c r="C273" s="10" t="s">
        <v>59</v>
      </c>
      <c r="D273" s="10" t="s">
        <v>603</v>
      </c>
      <c r="E273" s="19" t="s">
        <v>162</v>
      </c>
      <c r="F273" s="23" t="n">
        <v>0</v>
      </c>
      <c r="G273" s="11" t="n">
        <f aca="false">SUMIFS('Issue Log'!$G$2:$G$501,'Issue Log'!$B$2:$B$501,$A273,'Issue Log'!$J$2:$J$501,"Out")</f>
        <v>0</v>
      </c>
      <c r="H273" s="11" t="n">
        <f aca="false">IF($F273="","",$F273-$G273)</f>
        <v>0</v>
      </c>
      <c r="I273" s="23" t="n">
        <v>2</v>
      </c>
      <c r="J273" s="11" t="str">
        <f aca="false">IF($F273="","Not counted",IF($H273&lt;=0,"Out of stock",IF($H273&lt;$I273,"Low stock","In stock")))</f>
        <v>Out of stock</v>
      </c>
      <c r="K273" s="5" t="s">
        <v>175</v>
      </c>
      <c r="M273" s="26" t="n">
        <f aca="false">IF(Search!$C$4="",0,IF(ISNUMBER(SEARCH(Search!$C$4,$A273&amp;" "&amp;$B273&amp;" "&amp;$C273&amp;" "&amp;$E273)),1,0))</f>
        <v>0</v>
      </c>
      <c r="N273" s="0" t="str">
        <f aca="false">IF(M273=1,SUM($M$2:M273),"")</f>
        <v/>
      </c>
      <c r="O273" s="26" t="n">
        <f aca="false">IF(OR($J273="Out of stock",$J273="Low stock",$J273="Not counted"),1,0)</f>
        <v>1</v>
      </c>
      <c r="P273" s="26" t="n">
        <f aca="false">IF(O273=1,SUM($O$2:O273),"")</f>
        <v>75</v>
      </c>
    </row>
    <row r="274" customFormat="false" ht="15" hidden="false" customHeight="false" outlineLevel="0" collapsed="false">
      <c r="A274" s="10" t="s">
        <v>714</v>
      </c>
      <c r="B274" s="10" t="s">
        <v>715</v>
      </c>
      <c r="C274" s="10" t="s">
        <v>42</v>
      </c>
      <c r="D274" s="10" t="s">
        <v>603</v>
      </c>
      <c r="E274" s="19" t="s">
        <v>162</v>
      </c>
      <c r="F274" s="23" t="n">
        <v>3</v>
      </c>
      <c r="G274" s="11" t="n">
        <f aca="false">SUMIFS('Issue Log'!$G$2:$G$501,'Issue Log'!$B$2:$B$501,$A274,'Issue Log'!$J$2:$J$501,"Out")</f>
        <v>0</v>
      </c>
      <c r="H274" s="11" t="n">
        <f aca="false">IF($F274="","",$F274-$G274)</f>
        <v>3</v>
      </c>
      <c r="I274" s="23" t="n">
        <v>5</v>
      </c>
      <c r="J274" s="11" t="str">
        <f aca="false">IF($F274="","Not counted",IF($H274&lt;=0,"Out of stock",IF($H274&lt;$I274,"Low stock","In stock")))</f>
        <v>Low stock</v>
      </c>
      <c r="K274" s="5" t="s">
        <v>175</v>
      </c>
      <c r="M274" s="26" t="n">
        <f aca="false">IF(Search!$C$4="",0,IF(ISNUMBER(SEARCH(Search!$C$4,$A274&amp;" "&amp;$B274&amp;" "&amp;$C274&amp;" "&amp;$E274)),1,0))</f>
        <v>0</v>
      </c>
      <c r="N274" s="0" t="str">
        <f aca="false">IF(M274=1,SUM($M$2:M274),"")</f>
        <v/>
      </c>
      <c r="O274" s="26" t="n">
        <f aca="false">IF(OR($J274="Out of stock",$J274="Low stock",$J274="Not counted"),1,0)</f>
        <v>1</v>
      </c>
      <c r="P274" s="26" t="n">
        <f aca="false">IF(O274=1,SUM($O$2:O274),"")</f>
        <v>76</v>
      </c>
    </row>
    <row r="275" customFormat="false" ht="15" hidden="false" customHeight="false" outlineLevel="0" collapsed="false">
      <c r="A275" s="10" t="s">
        <v>716</v>
      </c>
      <c r="B275" s="10" t="s">
        <v>717</v>
      </c>
      <c r="C275" s="10" t="s">
        <v>68</v>
      </c>
      <c r="D275" s="10"/>
      <c r="E275" s="19" t="s">
        <v>161</v>
      </c>
      <c r="F275" s="23" t="n">
        <v>5</v>
      </c>
      <c r="G275" s="11" t="n">
        <f aca="false">SUMIFS('Issue Log'!$G$2:$G$501,'Issue Log'!$B$2:$B$501,$A275,'Issue Log'!$J$2:$J$501,"Out")</f>
        <v>0</v>
      </c>
      <c r="H275" s="11" t="n">
        <f aca="false">IF($F275="","",$F275-$G275)</f>
        <v>5</v>
      </c>
      <c r="I275" s="23" t="n">
        <v>10</v>
      </c>
      <c r="J275" s="11" t="str">
        <f aca="false">IF($F275="","Not counted",IF($H275&lt;=0,"Out of stock",IF($H275&lt;$I275,"Low stock","In stock")))</f>
        <v>Low stock</v>
      </c>
      <c r="K275" s="5" t="s">
        <v>175</v>
      </c>
      <c r="M275" s="26" t="n">
        <f aca="false">IF(Search!$C$4="",0,IF(ISNUMBER(SEARCH(Search!$C$4,$A275&amp;" "&amp;$B275&amp;" "&amp;$C275&amp;" "&amp;$E275)),1,0))</f>
        <v>1</v>
      </c>
      <c r="N275" s="26" t="n">
        <f aca="false">IF(M275=1,SUM($M$2:M275),"")</f>
        <v>29</v>
      </c>
      <c r="O275" s="26" t="n">
        <f aca="false">IF(OR($J275="Out of stock",$J275="Low stock",$J275="Not counted"),1,0)</f>
        <v>1</v>
      </c>
      <c r="P275" s="26" t="n">
        <f aca="false">IF(O275=1,SUM($O$2:O275),"")</f>
        <v>77</v>
      </c>
    </row>
    <row r="276" customFormat="false" ht="15" hidden="false" customHeight="false" outlineLevel="0" collapsed="false">
      <c r="A276" s="10" t="s">
        <v>718</v>
      </c>
      <c r="B276" s="10" t="s">
        <v>719</v>
      </c>
      <c r="C276" s="10" t="s">
        <v>68</v>
      </c>
      <c r="D276" s="10"/>
      <c r="E276" s="19" t="s">
        <v>161</v>
      </c>
      <c r="F276" s="23" t="n">
        <v>10</v>
      </c>
      <c r="G276" s="11" t="n">
        <f aca="false">SUMIFS('Issue Log'!$G$2:$G$501,'Issue Log'!$B$2:$B$501,$A276,'Issue Log'!$J$2:$J$501,"Out")</f>
        <v>0</v>
      </c>
      <c r="H276" s="11" t="n">
        <f aca="false">IF($F276="","",$F276-$G276)</f>
        <v>10</v>
      </c>
      <c r="I276" s="23" t="n">
        <v>10</v>
      </c>
      <c r="J276" s="11" t="str">
        <f aca="false">IF($F276="","Not counted",IF($H276&lt;=0,"Out of stock",IF($H276&lt;$I276,"Low stock","In stock")))</f>
        <v>In stock</v>
      </c>
      <c r="K276" s="5" t="s">
        <v>175</v>
      </c>
      <c r="M276" s="26" t="n">
        <f aca="false">IF(Search!$C$4="",0,IF(ISNUMBER(SEARCH(Search!$C$4,$A276&amp;" "&amp;$B276&amp;" "&amp;$C276&amp;" "&amp;$E276)),1,0))</f>
        <v>1</v>
      </c>
      <c r="N276" s="26" t="n">
        <f aca="false">IF(M276=1,SUM($M$2:M276),"")</f>
        <v>30</v>
      </c>
      <c r="O276" s="26" t="n">
        <f aca="false">IF(OR($J276="Out of stock",$J276="Low stock",$J276="Not counted"),1,0)</f>
        <v>0</v>
      </c>
      <c r="P276" s="0" t="str">
        <f aca="false">IF(O276=1,SUM($O$2:O276),"")</f>
        <v/>
      </c>
    </row>
    <row r="277" customFormat="false" ht="15" hidden="false" customHeight="false" outlineLevel="0" collapsed="false">
      <c r="A277" s="10" t="s">
        <v>720</v>
      </c>
      <c r="B277" s="10" t="s">
        <v>721</v>
      </c>
      <c r="C277" s="10" t="s">
        <v>68</v>
      </c>
      <c r="D277" s="10"/>
      <c r="E277" s="19" t="s">
        <v>161</v>
      </c>
      <c r="F277" s="23" t="n">
        <v>3</v>
      </c>
      <c r="G277" s="11" t="n">
        <f aca="false">SUMIFS('Issue Log'!$G$2:$G$501,'Issue Log'!$B$2:$B$501,$A277,'Issue Log'!$J$2:$J$501,"Out")</f>
        <v>0</v>
      </c>
      <c r="H277" s="11" t="n">
        <f aca="false">IF($F277="","",$F277-$G277)</f>
        <v>3</v>
      </c>
      <c r="I277" s="23" t="n">
        <v>10</v>
      </c>
      <c r="J277" s="11" t="str">
        <f aca="false">IF($F277="","Not counted",IF($H277&lt;=0,"Out of stock",IF($H277&lt;$I277,"Low stock","In stock")))</f>
        <v>Low stock</v>
      </c>
      <c r="K277" s="5" t="s">
        <v>175</v>
      </c>
      <c r="M277" s="26" t="n">
        <f aca="false">IF(Search!$C$4="",0,IF(ISNUMBER(SEARCH(Search!$C$4,$A277&amp;" "&amp;$B277&amp;" "&amp;$C277&amp;" "&amp;$E277)),1,0))</f>
        <v>1</v>
      </c>
      <c r="N277" s="26" t="n">
        <f aca="false">IF(M277=1,SUM($M$2:M277),"")</f>
        <v>31</v>
      </c>
      <c r="O277" s="26" t="n">
        <f aca="false">IF(OR($J277="Out of stock",$J277="Low stock",$J277="Not counted"),1,0)</f>
        <v>1</v>
      </c>
      <c r="P277" s="26" t="n">
        <f aca="false">IF(O277=1,SUM($O$2:O277),"")</f>
        <v>78</v>
      </c>
    </row>
    <row r="278" customFormat="false" ht="15" hidden="false" customHeight="false" outlineLevel="0" collapsed="false">
      <c r="A278" s="10" t="s">
        <v>722</v>
      </c>
      <c r="B278" s="10" t="s">
        <v>723</v>
      </c>
      <c r="C278" s="10" t="s">
        <v>68</v>
      </c>
      <c r="D278" s="10"/>
      <c r="E278" s="19" t="s">
        <v>161</v>
      </c>
      <c r="F278" s="23" t="n">
        <v>3</v>
      </c>
      <c r="G278" s="11" t="n">
        <f aca="false">SUMIFS('Issue Log'!$G$2:$G$501,'Issue Log'!$B$2:$B$501,$A278,'Issue Log'!$J$2:$J$501,"Out")</f>
        <v>0</v>
      </c>
      <c r="H278" s="11" t="n">
        <f aca="false">IF($F278="","",$F278-$G278)</f>
        <v>3</v>
      </c>
      <c r="I278" s="23" t="n">
        <v>10</v>
      </c>
      <c r="J278" s="11" t="str">
        <f aca="false">IF($F278="","Not counted",IF($H278&lt;=0,"Out of stock",IF($H278&lt;$I278,"Low stock","In stock")))</f>
        <v>Low stock</v>
      </c>
      <c r="K278" s="5" t="s">
        <v>175</v>
      </c>
      <c r="M278" s="26" t="n">
        <f aca="false">IF(Search!$C$4="",0,IF(ISNUMBER(SEARCH(Search!$C$4,$A278&amp;" "&amp;$B278&amp;" "&amp;$C278&amp;" "&amp;$E278)),1,0))</f>
        <v>1</v>
      </c>
      <c r="N278" s="26" t="n">
        <f aca="false">IF(M278=1,SUM($M$2:M278),"")</f>
        <v>32</v>
      </c>
      <c r="O278" s="26" t="n">
        <f aca="false">IF(OR($J278="Out of stock",$J278="Low stock",$J278="Not counted"),1,0)</f>
        <v>1</v>
      </c>
      <c r="P278" s="26" t="n">
        <f aca="false">IF(O278=1,SUM($O$2:O278),"")</f>
        <v>79</v>
      </c>
    </row>
    <row r="279" customFormat="false" ht="15" hidden="false" customHeight="false" outlineLevel="0" collapsed="false">
      <c r="A279" s="10" t="s">
        <v>724</v>
      </c>
      <c r="B279" s="10" t="s">
        <v>725</v>
      </c>
      <c r="C279" s="10" t="s">
        <v>68</v>
      </c>
      <c r="D279" s="10"/>
      <c r="E279" s="19" t="s">
        <v>161</v>
      </c>
      <c r="F279" s="23" t="n">
        <v>10</v>
      </c>
      <c r="G279" s="11" t="n">
        <f aca="false">SUMIFS('Issue Log'!$G$2:$G$501,'Issue Log'!$B$2:$B$501,$A279,'Issue Log'!$J$2:$J$501,"Out")</f>
        <v>0</v>
      </c>
      <c r="H279" s="11" t="n">
        <f aca="false">IF($F279="","",$F279-$G279)</f>
        <v>10</v>
      </c>
      <c r="I279" s="23" t="n">
        <v>10</v>
      </c>
      <c r="J279" s="11" t="str">
        <f aca="false">IF($F279="","Not counted",IF($H279&lt;=0,"Out of stock",IF($H279&lt;$I279,"Low stock","In stock")))</f>
        <v>In stock</v>
      </c>
      <c r="K279" s="5" t="s">
        <v>175</v>
      </c>
      <c r="M279" s="26" t="n">
        <f aca="false">IF(Search!$C$4="",0,IF(ISNUMBER(SEARCH(Search!$C$4,$A279&amp;" "&amp;$B279&amp;" "&amp;$C279&amp;" "&amp;$E279)),1,0))</f>
        <v>1</v>
      </c>
      <c r="N279" s="26" t="n">
        <f aca="false">IF(M279=1,SUM($M$2:M279),"")</f>
        <v>33</v>
      </c>
      <c r="O279" s="26" t="n">
        <f aca="false">IF(OR($J279="Out of stock",$J279="Low stock",$J279="Not counted"),1,0)</f>
        <v>0</v>
      </c>
      <c r="P279" s="0" t="str">
        <f aca="false">IF(O279=1,SUM($O$2:O279),"")</f>
        <v/>
      </c>
    </row>
    <row r="280" customFormat="false" ht="15" hidden="false" customHeight="false" outlineLevel="0" collapsed="false">
      <c r="A280" s="10" t="s">
        <v>726</v>
      </c>
      <c r="B280" s="10" t="s">
        <v>727</v>
      </c>
      <c r="C280" s="10" t="s">
        <v>68</v>
      </c>
      <c r="D280" s="10"/>
      <c r="E280" s="19" t="s">
        <v>161</v>
      </c>
      <c r="F280" s="23" t="n">
        <v>10</v>
      </c>
      <c r="G280" s="11" t="n">
        <f aca="false">SUMIFS('Issue Log'!$G$2:$G$501,'Issue Log'!$B$2:$B$501,$A280,'Issue Log'!$J$2:$J$501,"Out")</f>
        <v>0</v>
      </c>
      <c r="H280" s="11" t="n">
        <f aca="false">IF($F280="","",$F280-$G280)</f>
        <v>10</v>
      </c>
      <c r="I280" s="23" t="n">
        <v>10</v>
      </c>
      <c r="J280" s="11" t="str">
        <f aca="false">IF($F280="","Not counted",IF($H280&lt;=0,"Out of stock",IF($H280&lt;$I280,"Low stock","In stock")))</f>
        <v>In stock</v>
      </c>
      <c r="K280" s="5" t="s">
        <v>175</v>
      </c>
      <c r="M280" s="26" t="n">
        <f aca="false">IF(Search!$C$4="",0,IF(ISNUMBER(SEARCH(Search!$C$4,$A280&amp;" "&amp;$B280&amp;" "&amp;$C280&amp;" "&amp;$E280)),1,0))</f>
        <v>1</v>
      </c>
      <c r="N280" s="26" t="n">
        <f aca="false">IF(M280=1,SUM($M$2:M280),"")</f>
        <v>34</v>
      </c>
      <c r="O280" s="26" t="n">
        <f aca="false">IF(OR($J280="Out of stock",$J280="Low stock",$J280="Not counted"),1,0)</f>
        <v>0</v>
      </c>
      <c r="P280" s="0" t="str">
        <f aca="false">IF(O280=1,SUM($O$2:O280),"")</f>
        <v/>
      </c>
    </row>
    <row r="281" customFormat="false" ht="15" hidden="false" customHeight="false" outlineLevel="0" collapsed="false">
      <c r="A281" s="10" t="s">
        <v>728</v>
      </c>
      <c r="B281" s="10" t="s">
        <v>185</v>
      </c>
      <c r="C281" s="10" t="s">
        <v>68</v>
      </c>
      <c r="D281" s="10"/>
      <c r="E281" s="19" t="s">
        <v>161</v>
      </c>
      <c r="F281" s="23" t="n">
        <v>10</v>
      </c>
      <c r="G281" s="11" t="n">
        <f aca="false">SUMIFS('Issue Log'!$G$2:$G$501,'Issue Log'!$B$2:$B$501,$A281,'Issue Log'!$J$2:$J$501,"Out")</f>
        <v>0</v>
      </c>
      <c r="H281" s="11" t="n">
        <f aca="false">IF($F281="","",$F281-$G281)</f>
        <v>10</v>
      </c>
      <c r="I281" s="23" t="n">
        <v>10</v>
      </c>
      <c r="J281" s="11" t="str">
        <f aca="false">IF($F281="","Not counted",IF($H281&lt;=0,"Out of stock",IF($H281&lt;$I281,"Low stock","In stock")))</f>
        <v>In stock</v>
      </c>
      <c r="K281" s="5" t="s">
        <v>175</v>
      </c>
      <c r="M281" s="26" t="n">
        <f aca="false">IF(Search!$C$4="",0,IF(ISNUMBER(SEARCH(Search!$C$4,$A281&amp;" "&amp;$B281&amp;" "&amp;$C281&amp;" "&amp;$E281)),1,0))</f>
        <v>1</v>
      </c>
      <c r="N281" s="26" t="n">
        <f aca="false">IF(M281=1,SUM($M$2:M281),"")</f>
        <v>35</v>
      </c>
      <c r="O281" s="26" t="n">
        <f aca="false">IF(OR($J281="Out of stock",$J281="Low stock",$J281="Not counted"),1,0)</f>
        <v>0</v>
      </c>
      <c r="P281" s="0" t="str">
        <f aca="false">IF(O281=1,SUM($O$2:O281),"")</f>
        <v/>
      </c>
    </row>
    <row r="282" customFormat="false" ht="15" hidden="false" customHeight="false" outlineLevel="0" collapsed="false">
      <c r="A282" s="10" t="s">
        <v>729</v>
      </c>
      <c r="B282" s="10" t="s">
        <v>730</v>
      </c>
      <c r="C282" s="10" t="s">
        <v>68</v>
      </c>
      <c r="D282" s="10"/>
      <c r="E282" s="19" t="s">
        <v>161</v>
      </c>
      <c r="F282" s="23" t="n">
        <v>10</v>
      </c>
      <c r="G282" s="11" t="n">
        <f aca="false">SUMIFS('Issue Log'!$G$2:$G$501,'Issue Log'!$B$2:$B$501,$A282,'Issue Log'!$J$2:$J$501,"Out")</f>
        <v>0</v>
      </c>
      <c r="H282" s="11" t="n">
        <f aca="false">IF($F282="","",$F282-$G282)</f>
        <v>10</v>
      </c>
      <c r="I282" s="23" t="n">
        <v>10</v>
      </c>
      <c r="J282" s="11" t="str">
        <f aca="false">IF($F282="","Not counted",IF($H282&lt;=0,"Out of stock",IF($H282&lt;$I282,"Low stock","In stock")))</f>
        <v>In stock</v>
      </c>
      <c r="K282" s="5" t="s">
        <v>175</v>
      </c>
      <c r="M282" s="26" t="n">
        <f aca="false">IF(Search!$C$4="",0,IF(ISNUMBER(SEARCH(Search!$C$4,$A282&amp;" "&amp;$B282&amp;" "&amp;$C282&amp;" "&amp;$E282)),1,0))</f>
        <v>1</v>
      </c>
      <c r="N282" s="26" t="n">
        <f aca="false">IF(M282=1,SUM($M$2:M282),"")</f>
        <v>36</v>
      </c>
      <c r="O282" s="26" t="n">
        <f aca="false">IF(OR($J282="Out of stock",$J282="Low stock",$J282="Not counted"),1,0)</f>
        <v>0</v>
      </c>
      <c r="P282" s="0" t="str">
        <f aca="false">IF(O282=1,SUM($O$2:O282),"")</f>
        <v/>
      </c>
    </row>
    <row r="283" customFormat="false" ht="15" hidden="false" customHeight="false" outlineLevel="0" collapsed="false">
      <c r="A283" s="10" t="s">
        <v>731</v>
      </c>
      <c r="B283" s="10" t="s">
        <v>732</v>
      </c>
      <c r="C283" s="10" t="s">
        <v>68</v>
      </c>
      <c r="D283" s="10"/>
      <c r="E283" s="19" t="s">
        <v>161</v>
      </c>
      <c r="F283" s="23" t="n">
        <v>10</v>
      </c>
      <c r="G283" s="11" t="n">
        <f aca="false">SUMIFS('Issue Log'!$G$2:$G$501,'Issue Log'!$B$2:$B$501,$A283,'Issue Log'!$J$2:$J$501,"Out")</f>
        <v>0</v>
      </c>
      <c r="H283" s="11" t="n">
        <f aca="false">IF($F283="","",$F283-$G283)</f>
        <v>10</v>
      </c>
      <c r="I283" s="23" t="n">
        <v>10</v>
      </c>
      <c r="J283" s="11" t="str">
        <f aca="false">IF($F283="","Not counted",IF($H283&lt;=0,"Out of stock",IF($H283&lt;$I283,"Low stock","In stock")))</f>
        <v>In stock</v>
      </c>
      <c r="K283" s="5" t="s">
        <v>175</v>
      </c>
      <c r="M283" s="26" t="n">
        <f aca="false">IF(Search!$C$4="",0,IF(ISNUMBER(SEARCH(Search!$C$4,$A283&amp;" "&amp;$B283&amp;" "&amp;$C283&amp;" "&amp;$E283)),1,0))</f>
        <v>1</v>
      </c>
      <c r="N283" s="26" t="n">
        <f aca="false">IF(M283=1,SUM($M$2:M283),"")</f>
        <v>37</v>
      </c>
      <c r="O283" s="26" t="n">
        <f aca="false">IF(OR($J283="Out of stock",$J283="Low stock",$J283="Not counted"),1,0)</f>
        <v>0</v>
      </c>
      <c r="P283" s="0" t="str">
        <f aca="false">IF(O283=1,SUM($O$2:O283),"")</f>
        <v/>
      </c>
    </row>
    <row r="284" customFormat="false" ht="15" hidden="false" customHeight="false" outlineLevel="0" collapsed="false">
      <c r="A284" s="10" t="s">
        <v>733</v>
      </c>
      <c r="B284" s="10" t="s">
        <v>734</v>
      </c>
      <c r="C284" s="10" t="s">
        <v>68</v>
      </c>
      <c r="D284" s="10"/>
      <c r="E284" s="19" t="s">
        <v>161</v>
      </c>
      <c r="F284" s="23" t="n">
        <v>5</v>
      </c>
      <c r="G284" s="11" t="n">
        <f aca="false">SUMIFS('Issue Log'!$G$2:$G$501,'Issue Log'!$B$2:$B$501,$A284,'Issue Log'!$J$2:$J$501,"Out")</f>
        <v>0</v>
      </c>
      <c r="H284" s="11" t="n">
        <f aca="false">IF($F284="","",$F284-$G284)</f>
        <v>5</v>
      </c>
      <c r="I284" s="23" t="n">
        <v>10</v>
      </c>
      <c r="J284" s="11" t="str">
        <f aca="false">IF($F284="","Not counted",IF($H284&lt;=0,"Out of stock",IF($H284&lt;$I284,"Low stock","In stock")))</f>
        <v>Low stock</v>
      </c>
      <c r="K284" s="5" t="s">
        <v>175</v>
      </c>
      <c r="M284" s="26" t="n">
        <f aca="false">IF(Search!$C$4="",0,IF(ISNUMBER(SEARCH(Search!$C$4,$A284&amp;" "&amp;$B284&amp;" "&amp;$C284&amp;" "&amp;$E284)),1,0))</f>
        <v>1</v>
      </c>
      <c r="N284" s="26" t="n">
        <f aca="false">IF(M284=1,SUM($M$2:M284),"")</f>
        <v>38</v>
      </c>
      <c r="O284" s="26" t="n">
        <f aca="false">IF(OR($J284="Out of stock",$J284="Low stock",$J284="Not counted"),1,0)</f>
        <v>1</v>
      </c>
      <c r="P284" s="26" t="n">
        <f aca="false">IF(O284=1,SUM($O$2:O284),"")</f>
        <v>80</v>
      </c>
    </row>
    <row r="285" customFormat="false" ht="15" hidden="false" customHeight="false" outlineLevel="0" collapsed="false">
      <c r="A285" s="10" t="s">
        <v>735</v>
      </c>
      <c r="B285" s="10" t="s">
        <v>187</v>
      </c>
      <c r="C285" s="10" t="s">
        <v>68</v>
      </c>
      <c r="D285" s="10"/>
      <c r="E285" s="19" t="s">
        <v>161</v>
      </c>
      <c r="F285" s="23" t="n">
        <v>10</v>
      </c>
      <c r="G285" s="11" t="n">
        <f aca="false">SUMIFS('Issue Log'!$G$2:$G$501,'Issue Log'!$B$2:$B$501,$A285,'Issue Log'!$J$2:$J$501,"Out")</f>
        <v>0</v>
      </c>
      <c r="H285" s="11" t="n">
        <f aca="false">IF($F285="","",$F285-$G285)</f>
        <v>10</v>
      </c>
      <c r="I285" s="23" t="n">
        <v>10</v>
      </c>
      <c r="J285" s="11" t="str">
        <f aca="false">IF($F285="","Not counted",IF($H285&lt;=0,"Out of stock",IF($H285&lt;$I285,"Low stock","In stock")))</f>
        <v>In stock</v>
      </c>
      <c r="K285" s="5" t="s">
        <v>175</v>
      </c>
      <c r="M285" s="26" t="n">
        <f aca="false">IF(Search!$C$4="",0,IF(ISNUMBER(SEARCH(Search!$C$4,$A285&amp;" "&amp;$B285&amp;" "&amp;$C285&amp;" "&amp;$E285)),1,0))</f>
        <v>1</v>
      </c>
      <c r="N285" s="26" t="n">
        <f aca="false">IF(M285=1,SUM($M$2:M285),"")</f>
        <v>39</v>
      </c>
      <c r="O285" s="26" t="n">
        <f aca="false">IF(OR($J285="Out of stock",$J285="Low stock",$J285="Not counted"),1,0)</f>
        <v>0</v>
      </c>
      <c r="P285" s="0" t="str">
        <f aca="false">IF(O285=1,SUM($O$2:O285),"")</f>
        <v/>
      </c>
    </row>
    <row r="286" customFormat="false" ht="15" hidden="false" customHeight="false" outlineLevel="0" collapsed="false">
      <c r="A286" s="10" t="s">
        <v>736</v>
      </c>
      <c r="B286" s="10" t="s">
        <v>737</v>
      </c>
      <c r="C286" s="10" t="s">
        <v>68</v>
      </c>
      <c r="D286" s="10"/>
      <c r="E286" s="19" t="s">
        <v>161</v>
      </c>
      <c r="F286" s="23" t="n">
        <v>5</v>
      </c>
      <c r="G286" s="11" t="n">
        <f aca="false">SUMIFS('Issue Log'!$G$2:$G$501,'Issue Log'!$B$2:$B$501,$A286,'Issue Log'!$J$2:$J$501,"Out")</f>
        <v>0</v>
      </c>
      <c r="H286" s="11" t="n">
        <f aca="false">IF($F286="","",$F286-$G286)</f>
        <v>5</v>
      </c>
      <c r="I286" s="23" t="n">
        <v>10</v>
      </c>
      <c r="J286" s="11" t="str">
        <f aca="false">IF($F286="","Not counted",IF($H286&lt;=0,"Out of stock",IF($H286&lt;$I286,"Low stock","In stock")))</f>
        <v>Low stock</v>
      </c>
      <c r="K286" s="5" t="s">
        <v>175</v>
      </c>
      <c r="M286" s="26" t="n">
        <f aca="false">IF(Search!$C$4="",0,IF(ISNUMBER(SEARCH(Search!$C$4,$A286&amp;" "&amp;$B286&amp;" "&amp;$C286&amp;" "&amp;$E286)),1,0))</f>
        <v>1</v>
      </c>
      <c r="N286" s="26" t="n">
        <f aca="false">IF(M286=1,SUM($M$2:M286),"")</f>
        <v>40</v>
      </c>
      <c r="O286" s="26" t="n">
        <f aca="false">IF(OR($J286="Out of stock",$J286="Low stock",$J286="Not counted"),1,0)</f>
        <v>1</v>
      </c>
      <c r="P286" s="26" t="n">
        <f aca="false">IF(O286=1,SUM($O$2:O286),"")</f>
        <v>81</v>
      </c>
    </row>
    <row r="287" customFormat="false" ht="15" hidden="false" customHeight="false" outlineLevel="0" collapsed="false">
      <c r="A287" s="10" t="s">
        <v>738</v>
      </c>
      <c r="B287" s="10" t="s">
        <v>189</v>
      </c>
      <c r="C287" s="10" t="s">
        <v>68</v>
      </c>
      <c r="D287" s="10"/>
      <c r="E287" s="19" t="s">
        <v>161</v>
      </c>
      <c r="F287" s="23" t="n">
        <v>5</v>
      </c>
      <c r="G287" s="11" t="n">
        <f aca="false">SUMIFS('Issue Log'!$G$2:$G$501,'Issue Log'!$B$2:$B$501,$A287,'Issue Log'!$J$2:$J$501,"Out")</f>
        <v>0</v>
      </c>
      <c r="H287" s="11" t="n">
        <f aca="false">IF($F287="","",$F287-$G287)</f>
        <v>5</v>
      </c>
      <c r="I287" s="23" t="n">
        <v>10</v>
      </c>
      <c r="J287" s="11" t="str">
        <f aca="false">IF($F287="","Not counted",IF($H287&lt;=0,"Out of stock",IF($H287&lt;$I287,"Low stock","In stock")))</f>
        <v>Low stock</v>
      </c>
      <c r="K287" s="5" t="s">
        <v>175</v>
      </c>
      <c r="M287" s="26" t="n">
        <f aca="false">IF(Search!$C$4="",0,IF(ISNUMBER(SEARCH(Search!$C$4,$A287&amp;" "&amp;$B287&amp;" "&amp;$C287&amp;" "&amp;$E287)),1,0))</f>
        <v>1</v>
      </c>
      <c r="N287" s="26" t="n">
        <f aca="false">IF(M287=1,SUM($M$2:M287),"")</f>
        <v>41</v>
      </c>
      <c r="O287" s="26" t="n">
        <f aca="false">IF(OR($J287="Out of stock",$J287="Low stock",$J287="Not counted"),1,0)</f>
        <v>1</v>
      </c>
      <c r="P287" s="26" t="n">
        <f aca="false">IF(O287=1,SUM($O$2:O287),"")</f>
        <v>82</v>
      </c>
    </row>
    <row r="288" customFormat="false" ht="15" hidden="false" customHeight="false" outlineLevel="0" collapsed="false">
      <c r="A288" s="10" t="s">
        <v>739</v>
      </c>
      <c r="B288" s="10" t="s">
        <v>740</v>
      </c>
      <c r="C288" s="10" t="s">
        <v>68</v>
      </c>
      <c r="D288" s="10"/>
      <c r="E288" s="19" t="s">
        <v>161</v>
      </c>
      <c r="F288" s="23" t="n">
        <v>200</v>
      </c>
      <c r="G288" s="11" t="n">
        <f aca="false">SUMIFS('Issue Log'!$G$2:$G$501,'Issue Log'!$B$2:$B$501,$A288,'Issue Log'!$J$2:$J$501,"Out")</f>
        <v>0</v>
      </c>
      <c r="H288" s="11" t="n">
        <f aca="false">IF($F288="","",$F288-$G288)</f>
        <v>200</v>
      </c>
      <c r="I288" s="23" t="n">
        <v>10</v>
      </c>
      <c r="J288" s="11" t="str">
        <f aca="false">IF($F288="","Not counted",IF($H288&lt;=0,"Out of stock",IF($H288&lt;$I288,"Low stock","In stock")))</f>
        <v>In stock</v>
      </c>
      <c r="K288" s="5" t="s">
        <v>175</v>
      </c>
      <c r="M288" s="26" t="n">
        <f aca="false">IF(Search!$C$4="",0,IF(ISNUMBER(SEARCH(Search!$C$4,$A288&amp;" "&amp;$B288&amp;" "&amp;$C288&amp;" "&amp;$E288)),1,0))</f>
        <v>1</v>
      </c>
      <c r="N288" s="26" t="n">
        <f aca="false">IF(M288=1,SUM($M$2:M288),"")</f>
        <v>42</v>
      </c>
      <c r="O288" s="26" t="n">
        <f aca="false">IF(OR($J288="Out of stock",$J288="Low stock",$J288="Not counted"),1,0)</f>
        <v>0</v>
      </c>
      <c r="P288" s="0" t="str">
        <f aca="false">IF(O288=1,SUM($O$2:O288),"")</f>
        <v/>
      </c>
    </row>
    <row r="289" customFormat="false" ht="15" hidden="false" customHeight="false" outlineLevel="0" collapsed="false">
      <c r="A289" s="10" t="s">
        <v>741</v>
      </c>
      <c r="B289" s="10" t="s">
        <v>742</v>
      </c>
      <c r="C289" s="10" t="s">
        <v>68</v>
      </c>
      <c r="D289" s="10"/>
      <c r="E289" s="19" t="s">
        <v>161</v>
      </c>
      <c r="F289" s="23" t="n">
        <v>400</v>
      </c>
      <c r="G289" s="11" t="n">
        <f aca="false">SUMIFS('Issue Log'!$G$2:$G$501,'Issue Log'!$B$2:$B$501,$A289,'Issue Log'!$J$2:$J$501,"Out")</f>
        <v>0</v>
      </c>
      <c r="H289" s="11" t="n">
        <f aca="false">IF($F289="","",$F289-$G289)</f>
        <v>400</v>
      </c>
      <c r="I289" s="23" t="n">
        <v>10</v>
      </c>
      <c r="J289" s="11" t="str">
        <f aca="false">IF($F289="","Not counted",IF($H289&lt;=0,"Out of stock",IF($H289&lt;$I289,"Low stock","In stock")))</f>
        <v>In stock</v>
      </c>
      <c r="K289" s="5" t="s">
        <v>175</v>
      </c>
      <c r="M289" s="26" t="n">
        <f aca="false">IF(Search!$C$4="",0,IF(ISNUMBER(SEARCH(Search!$C$4,$A289&amp;" "&amp;$B289&amp;" "&amp;$C289&amp;" "&amp;$E289)),1,0))</f>
        <v>1</v>
      </c>
      <c r="N289" s="26" t="n">
        <f aca="false">IF(M289=1,SUM($M$2:M289),"")</f>
        <v>43</v>
      </c>
      <c r="O289" s="26" t="n">
        <f aca="false">IF(OR($J289="Out of stock",$J289="Low stock",$J289="Not counted"),1,0)</f>
        <v>0</v>
      </c>
      <c r="P289" s="0" t="str">
        <f aca="false">IF(O289=1,SUM($O$2:O289),"")</f>
        <v/>
      </c>
    </row>
    <row r="290" customFormat="false" ht="15" hidden="false" customHeight="false" outlineLevel="0" collapsed="false">
      <c r="A290" s="10" t="s">
        <v>743</v>
      </c>
      <c r="B290" s="10" t="s">
        <v>744</v>
      </c>
      <c r="C290" s="10" t="s">
        <v>68</v>
      </c>
      <c r="D290" s="10"/>
      <c r="E290" s="19" t="s">
        <v>161</v>
      </c>
      <c r="F290" s="23" t="n">
        <v>300</v>
      </c>
      <c r="G290" s="11" t="n">
        <f aca="false">SUMIFS('Issue Log'!$G$2:$G$501,'Issue Log'!$B$2:$B$501,$A290,'Issue Log'!$J$2:$J$501,"Out")</f>
        <v>0</v>
      </c>
      <c r="H290" s="11" t="n">
        <f aca="false">IF($F290="","",$F290-$G290)</f>
        <v>300</v>
      </c>
      <c r="I290" s="23" t="n">
        <v>10</v>
      </c>
      <c r="J290" s="11" t="str">
        <f aca="false">IF($F290="","Not counted",IF($H290&lt;=0,"Out of stock",IF($H290&lt;$I290,"Low stock","In stock")))</f>
        <v>In stock</v>
      </c>
      <c r="K290" s="5" t="s">
        <v>175</v>
      </c>
      <c r="M290" s="26" t="n">
        <f aca="false">IF(Search!$C$4="",0,IF(ISNUMBER(SEARCH(Search!$C$4,$A290&amp;" "&amp;$B290&amp;" "&amp;$C290&amp;" "&amp;$E290)),1,0))</f>
        <v>1</v>
      </c>
      <c r="N290" s="26" t="n">
        <f aca="false">IF(M290=1,SUM($M$2:M290),"")</f>
        <v>44</v>
      </c>
      <c r="O290" s="26" t="n">
        <f aca="false">IF(OR($J290="Out of stock",$J290="Low stock",$J290="Not counted"),1,0)</f>
        <v>0</v>
      </c>
      <c r="P290" s="0" t="str">
        <f aca="false">IF(O290=1,SUM($O$2:O290),"")</f>
        <v/>
      </c>
    </row>
    <row r="291" customFormat="false" ht="15" hidden="false" customHeight="false" outlineLevel="0" collapsed="false">
      <c r="A291" s="10" t="s">
        <v>745</v>
      </c>
      <c r="B291" s="10" t="s">
        <v>746</v>
      </c>
      <c r="C291" s="10" t="s">
        <v>68</v>
      </c>
      <c r="D291" s="10"/>
      <c r="E291" s="19" t="s">
        <v>161</v>
      </c>
      <c r="F291" s="23" t="n">
        <v>100</v>
      </c>
      <c r="G291" s="11" t="n">
        <f aca="false">SUMIFS('Issue Log'!$G$2:$G$501,'Issue Log'!$B$2:$B$501,$A291,'Issue Log'!$J$2:$J$501,"Out")</f>
        <v>0</v>
      </c>
      <c r="H291" s="11" t="n">
        <f aca="false">IF($F291="","",$F291-$G291)</f>
        <v>100</v>
      </c>
      <c r="I291" s="23" t="n">
        <v>10</v>
      </c>
      <c r="J291" s="11" t="str">
        <f aca="false">IF($F291="","Not counted",IF($H291&lt;=0,"Out of stock",IF($H291&lt;$I291,"Low stock","In stock")))</f>
        <v>In stock</v>
      </c>
      <c r="K291" s="5" t="s">
        <v>175</v>
      </c>
      <c r="M291" s="26" t="n">
        <f aca="false">IF(Search!$C$4="",0,IF(ISNUMBER(SEARCH(Search!$C$4,$A291&amp;" "&amp;$B291&amp;" "&amp;$C291&amp;" "&amp;$E291)),1,0))</f>
        <v>1</v>
      </c>
      <c r="N291" s="26" t="n">
        <f aca="false">IF(M291=1,SUM($M$2:M291),"")</f>
        <v>45</v>
      </c>
      <c r="O291" s="26" t="n">
        <f aca="false">IF(OR($J291="Out of stock",$J291="Low stock",$J291="Not counted"),1,0)</f>
        <v>0</v>
      </c>
      <c r="P291" s="0" t="str">
        <f aca="false">IF(O291=1,SUM($O$2:O291),"")</f>
        <v/>
      </c>
    </row>
    <row r="292" customFormat="false" ht="15" hidden="false" customHeight="false" outlineLevel="0" collapsed="false">
      <c r="A292" s="10" t="s">
        <v>747</v>
      </c>
      <c r="B292" s="10" t="s">
        <v>748</v>
      </c>
      <c r="C292" s="10" t="s">
        <v>66</v>
      </c>
      <c r="D292" s="10"/>
      <c r="E292" s="19" t="s">
        <v>145</v>
      </c>
      <c r="F292" s="23"/>
      <c r="G292" s="11" t="n">
        <f aca="false">SUMIFS('Issue Log'!$G$2:$G$501,'Issue Log'!$B$2:$B$501,$A292,'Issue Log'!$J$2:$J$501,"Out")</f>
        <v>0</v>
      </c>
      <c r="H292" s="11" t="str">
        <f aca="false">IF($F292="","",$F292-$G292)</f>
        <v/>
      </c>
      <c r="I292" s="23" t="n">
        <v>1</v>
      </c>
      <c r="J292" s="11" t="str">
        <f aca="false">IF($F292="","Not counted",IF($H292&lt;=0,"Out of stock",IF($H292&lt;$I292,"Low stock","In stock")))</f>
        <v>Not counted</v>
      </c>
      <c r="K292" s="5" t="s">
        <v>175</v>
      </c>
      <c r="M292" s="26" t="n">
        <f aca="false">IF(Search!$C$4="",0,IF(ISNUMBER(SEARCH(Search!$C$4,$A292&amp;" "&amp;$B292&amp;" "&amp;$C292&amp;" "&amp;$E292)),1,0))</f>
        <v>0</v>
      </c>
      <c r="N292" s="0" t="str">
        <f aca="false">IF(M292=1,SUM($M$2:M292),"")</f>
        <v/>
      </c>
      <c r="O292" s="26" t="n">
        <f aca="false">IF(OR($J292="Out of stock",$J292="Low stock",$J292="Not counted"),1,0)</f>
        <v>1</v>
      </c>
      <c r="P292" s="26" t="n">
        <f aca="false">IF(O292=1,SUM($O$2:O292),"")</f>
        <v>83</v>
      </c>
    </row>
    <row r="293" customFormat="false" ht="15" hidden="false" customHeight="false" outlineLevel="0" collapsed="false">
      <c r="A293" s="10" t="s">
        <v>749</v>
      </c>
      <c r="B293" s="10" t="s">
        <v>750</v>
      </c>
      <c r="C293" s="10" t="s">
        <v>66</v>
      </c>
      <c r="D293" s="10"/>
      <c r="E293" s="19" t="s">
        <v>163</v>
      </c>
      <c r="F293" s="23"/>
      <c r="G293" s="11" t="n">
        <f aca="false">SUMIFS('Issue Log'!$G$2:$G$501,'Issue Log'!$B$2:$B$501,$A293,'Issue Log'!$J$2:$J$501,"Out")</f>
        <v>0</v>
      </c>
      <c r="H293" s="11" t="str">
        <f aca="false">IF($F293="","",$F293-$G293)</f>
        <v/>
      </c>
      <c r="I293" s="23" t="n">
        <v>1</v>
      </c>
      <c r="J293" s="11" t="str">
        <f aca="false">IF($F293="","Not counted",IF($H293&lt;=0,"Out of stock",IF($H293&lt;$I293,"Low stock","In stock")))</f>
        <v>Not counted</v>
      </c>
      <c r="K293" s="5" t="s">
        <v>175</v>
      </c>
      <c r="M293" s="26" t="n">
        <f aca="false">IF(Search!$C$4="",0,IF(ISNUMBER(SEARCH(Search!$C$4,$A293&amp;" "&amp;$B293&amp;" "&amp;$C293&amp;" "&amp;$E293)),1,0))</f>
        <v>0</v>
      </c>
      <c r="N293" s="0" t="str">
        <f aca="false">IF(M293=1,SUM($M$2:M293),"")</f>
        <v/>
      </c>
      <c r="O293" s="26" t="n">
        <f aca="false">IF(OR($J293="Out of stock",$J293="Low stock",$J293="Not counted"),1,0)</f>
        <v>1</v>
      </c>
      <c r="P293" s="26" t="n">
        <f aca="false">IF(O293=1,SUM($O$2:O293),"")</f>
        <v>84</v>
      </c>
    </row>
    <row r="294" customFormat="false" ht="15" hidden="false" customHeight="false" outlineLevel="0" collapsed="false">
      <c r="A294" s="10" t="s">
        <v>751</v>
      </c>
      <c r="B294" s="10" t="s">
        <v>752</v>
      </c>
      <c r="C294" s="10" t="s">
        <v>66</v>
      </c>
      <c r="D294" s="10"/>
      <c r="E294" s="19" t="s">
        <v>163</v>
      </c>
      <c r="F294" s="23"/>
      <c r="G294" s="11" t="n">
        <f aca="false">SUMIFS('Issue Log'!$G$2:$G$501,'Issue Log'!$B$2:$B$501,$A294,'Issue Log'!$J$2:$J$501,"Out")</f>
        <v>0</v>
      </c>
      <c r="H294" s="11" t="str">
        <f aca="false">IF($F294="","",$F294-$G294)</f>
        <v/>
      </c>
      <c r="I294" s="23" t="n">
        <v>1</v>
      </c>
      <c r="J294" s="11" t="str">
        <f aca="false">IF($F294="","Not counted",IF($H294&lt;=0,"Out of stock",IF($H294&lt;$I294,"Low stock","In stock")))</f>
        <v>Not counted</v>
      </c>
      <c r="K294" s="5" t="s">
        <v>175</v>
      </c>
      <c r="M294" s="26" t="n">
        <f aca="false">IF(Search!$C$4="",0,IF(ISNUMBER(SEARCH(Search!$C$4,$A294&amp;" "&amp;$B294&amp;" "&amp;$C294&amp;" "&amp;$E294)),1,0))</f>
        <v>0</v>
      </c>
      <c r="N294" s="0" t="str">
        <f aca="false">IF(M294=1,SUM($M$2:M294),"")</f>
        <v/>
      </c>
      <c r="O294" s="26" t="n">
        <f aca="false">IF(OR($J294="Out of stock",$J294="Low stock",$J294="Not counted"),1,0)</f>
        <v>1</v>
      </c>
      <c r="P294" s="26" t="n">
        <f aca="false">IF(O294=1,SUM($O$2:O294),"")</f>
        <v>85</v>
      </c>
    </row>
    <row r="295" customFormat="false" ht="15" hidden="false" customHeight="false" outlineLevel="0" collapsed="false">
      <c r="A295" s="10" t="s">
        <v>753</v>
      </c>
      <c r="B295" s="10" t="s">
        <v>754</v>
      </c>
      <c r="C295" s="10" t="s">
        <v>60</v>
      </c>
      <c r="D295" s="10"/>
      <c r="E295" s="19" t="s">
        <v>113</v>
      </c>
      <c r="F295" s="23" t="n">
        <v>3</v>
      </c>
      <c r="G295" s="11" t="n">
        <f aca="false">SUMIFS('Issue Log'!$G$2:$G$501,'Issue Log'!$B$2:$B$501,$A295,'Issue Log'!$J$2:$J$501,"Out")</f>
        <v>0</v>
      </c>
      <c r="H295" s="11" t="n">
        <f aca="false">IF($F295="","",$F295-$G295)</f>
        <v>3</v>
      </c>
      <c r="I295" s="23" t="n">
        <v>2</v>
      </c>
      <c r="J295" s="11" t="str">
        <f aca="false">IF($F295="","Not counted",IF($H295&lt;=0,"Out of stock",IF($H295&lt;$I295,"Low stock","In stock")))</f>
        <v>In stock</v>
      </c>
      <c r="K295" s="5" t="s">
        <v>175</v>
      </c>
      <c r="M295" s="26" t="n">
        <f aca="false">IF(Search!$C$4="",0,IF(ISNUMBER(SEARCH(Search!$C$4,$A295&amp;" "&amp;$B295&amp;" "&amp;$C295&amp;" "&amp;$E295)),1,0))</f>
        <v>0</v>
      </c>
      <c r="N295" s="0" t="str">
        <f aca="false">IF(M295=1,SUM($M$2:M295),"")</f>
        <v/>
      </c>
      <c r="O295" s="26" t="n">
        <f aca="false">IF(OR($J295="Out of stock",$J295="Low stock",$J295="Not counted"),1,0)</f>
        <v>0</v>
      </c>
      <c r="P295" s="0" t="str">
        <f aca="false">IF(O295=1,SUM($O$2:O295),"")</f>
        <v/>
      </c>
    </row>
    <row r="296" customFormat="false" ht="15" hidden="false" customHeight="false" outlineLevel="0" collapsed="false">
      <c r="A296" s="10" t="s">
        <v>755</v>
      </c>
      <c r="B296" s="10" t="s">
        <v>28</v>
      </c>
      <c r="C296" s="10" t="s">
        <v>28</v>
      </c>
      <c r="D296" s="10"/>
      <c r="E296" s="19" t="s">
        <v>163</v>
      </c>
      <c r="F296" s="23"/>
      <c r="G296" s="11" t="n">
        <f aca="false">SUMIFS('Issue Log'!$G$2:$G$501,'Issue Log'!$B$2:$B$501,$A296,'Issue Log'!$J$2:$J$501,"Out")</f>
        <v>0</v>
      </c>
      <c r="H296" s="11" t="str">
        <f aca="false">IF($F296="","",$F296-$G296)</f>
        <v/>
      </c>
      <c r="I296" s="23" t="n">
        <v>1</v>
      </c>
      <c r="J296" s="11" t="str">
        <f aca="false">IF($F296="","Not counted",IF($H296&lt;=0,"Out of stock",IF($H296&lt;$I296,"Low stock","In stock")))</f>
        <v>Not counted</v>
      </c>
      <c r="K296" s="5" t="s">
        <v>175</v>
      </c>
      <c r="M296" s="26" t="n">
        <f aca="false">IF(Search!$C$4="",0,IF(ISNUMBER(SEARCH(Search!$C$4,$A296&amp;" "&amp;$B296&amp;" "&amp;$C296&amp;" "&amp;$E296)),1,0))</f>
        <v>0</v>
      </c>
      <c r="N296" s="0" t="str">
        <f aca="false">IF(M296=1,SUM($M$2:M296),"")</f>
        <v/>
      </c>
      <c r="O296" s="26" t="n">
        <f aca="false">IF(OR($J296="Out of stock",$J296="Low stock",$J296="Not counted"),1,0)</f>
        <v>1</v>
      </c>
      <c r="P296" s="26" t="n">
        <f aca="false">IF(O296=1,SUM($O$2:O296),"")</f>
        <v>86</v>
      </c>
    </row>
    <row r="297" customFormat="false" ht="15" hidden="false" customHeight="false" outlineLevel="0" collapsed="false">
      <c r="A297" s="10" t="s">
        <v>756</v>
      </c>
      <c r="B297" s="10" t="s">
        <v>757</v>
      </c>
      <c r="C297" s="10" t="s">
        <v>70</v>
      </c>
      <c r="D297" s="10"/>
      <c r="E297" s="19" t="s">
        <v>163</v>
      </c>
      <c r="F297" s="23"/>
      <c r="G297" s="11" t="n">
        <f aca="false">SUMIFS('Issue Log'!$G$2:$G$501,'Issue Log'!$B$2:$B$501,$A297,'Issue Log'!$J$2:$J$501,"Out")</f>
        <v>0</v>
      </c>
      <c r="H297" s="11" t="str">
        <f aca="false">IF($F297="","",$F297-$G297)</f>
        <v/>
      </c>
      <c r="I297" s="23" t="n">
        <v>1</v>
      </c>
      <c r="J297" s="11" t="str">
        <f aca="false">IF($F297="","Not counted",IF($H297&lt;=0,"Out of stock",IF($H297&lt;$I297,"Low stock","In stock")))</f>
        <v>Not counted</v>
      </c>
      <c r="K297" s="5" t="s">
        <v>175</v>
      </c>
      <c r="M297" s="26" t="n">
        <f aca="false">IF(Search!$C$4="",0,IF(ISNUMBER(SEARCH(Search!$C$4,$A297&amp;" "&amp;$B297&amp;" "&amp;$C297&amp;" "&amp;$E297)),1,0))</f>
        <v>0</v>
      </c>
      <c r="N297" s="0" t="str">
        <f aca="false">IF(M297=1,SUM($M$2:M297),"")</f>
        <v/>
      </c>
      <c r="O297" s="26" t="n">
        <f aca="false">IF(OR($J297="Out of stock",$J297="Low stock",$J297="Not counted"),1,0)</f>
        <v>1</v>
      </c>
      <c r="P297" s="26" t="n">
        <f aca="false">IF(O297=1,SUM($O$2:O297),"")</f>
        <v>87</v>
      </c>
    </row>
    <row r="298" customFormat="false" ht="15" hidden="false" customHeight="false" outlineLevel="0" collapsed="false">
      <c r="A298" s="10" t="s">
        <v>758</v>
      </c>
      <c r="B298" s="10" t="s">
        <v>759</v>
      </c>
      <c r="C298" s="10" t="s">
        <v>70</v>
      </c>
      <c r="D298" s="10"/>
      <c r="E298" s="19" t="s">
        <v>163</v>
      </c>
      <c r="F298" s="23"/>
      <c r="G298" s="11" t="n">
        <f aca="false">SUMIFS('Issue Log'!$G$2:$G$501,'Issue Log'!$B$2:$B$501,$A298,'Issue Log'!$J$2:$J$501,"Out")</f>
        <v>0</v>
      </c>
      <c r="H298" s="11" t="str">
        <f aca="false">IF($F298="","",$F298-$G298)</f>
        <v/>
      </c>
      <c r="I298" s="23" t="n">
        <v>1</v>
      </c>
      <c r="J298" s="11" t="str">
        <f aca="false">IF($F298="","Not counted",IF($H298&lt;=0,"Out of stock",IF($H298&lt;$I298,"Low stock","In stock")))</f>
        <v>Not counted</v>
      </c>
      <c r="K298" s="5" t="s">
        <v>175</v>
      </c>
      <c r="M298" s="26" t="n">
        <f aca="false">IF(Search!$C$4="",0,IF(ISNUMBER(SEARCH(Search!$C$4,$A298&amp;" "&amp;$B298&amp;" "&amp;$C298&amp;" "&amp;$E298)),1,0))</f>
        <v>0</v>
      </c>
      <c r="N298" s="0" t="str">
        <f aca="false">IF(M298=1,SUM($M$2:M298),"")</f>
        <v/>
      </c>
      <c r="O298" s="26" t="n">
        <f aca="false">IF(OR($J298="Out of stock",$J298="Low stock",$J298="Not counted"),1,0)</f>
        <v>1</v>
      </c>
      <c r="P298" s="26" t="n">
        <f aca="false">IF(O298=1,SUM($O$2:O298),"")</f>
        <v>88</v>
      </c>
    </row>
    <row r="299" customFormat="false" ht="15" hidden="false" customHeight="false" outlineLevel="0" collapsed="false">
      <c r="A299" s="10" t="s">
        <v>760</v>
      </c>
      <c r="B299" s="10" t="s">
        <v>761</v>
      </c>
      <c r="C299" s="10" t="s">
        <v>70</v>
      </c>
      <c r="D299" s="10"/>
      <c r="E299" s="19" t="s">
        <v>163</v>
      </c>
      <c r="F299" s="23"/>
      <c r="G299" s="11" t="n">
        <f aca="false">SUMIFS('Issue Log'!$G$2:$G$501,'Issue Log'!$B$2:$B$501,$A299,'Issue Log'!$J$2:$J$501,"Out")</f>
        <v>0</v>
      </c>
      <c r="H299" s="11" t="str">
        <f aca="false">IF($F299="","",$F299-$G299)</f>
        <v/>
      </c>
      <c r="I299" s="23" t="n">
        <v>1</v>
      </c>
      <c r="J299" s="11" t="str">
        <f aca="false">IF($F299="","Not counted",IF($H299&lt;=0,"Out of stock",IF($H299&lt;$I299,"Low stock","In stock")))</f>
        <v>Not counted</v>
      </c>
      <c r="K299" s="5" t="s">
        <v>175</v>
      </c>
      <c r="M299" s="26" t="n">
        <f aca="false">IF(Search!$C$4="",0,IF(ISNUMBER(SEARCH(Search!$C$4,$A299&amp;" "&amp;$B299&amp;" "&amp;$C299&amp;" "&amp;$E299)),1,0))</f>
        <v>0</v>
      </c>
      <c r="N299" s="0" t="str">
        <f aca="false">IF(M299=1,SUM($M$2:M299),"")</f>
        <v/>
      </c>
      <c r="O299" s="26" t="n">
        <f aca="false">IF(OR($J299="Out of stock",$J299="Low stock",$J299="Not counted"),1,0)</f>
        <v>1</v>
      </c>
      <c r="P299" s="26" t="n">
        <f aca="false">IF(O299=1,SUM($O$2:O299),"")</f>
        <v>89</v>
      </c>
    </row>
    <row r="300" customFormat="false" ht="15" hidden="false" customHeight="false" outlineLevel="0" collapsed="false">
      <c r="A300" s="10" t="s">
        <v>762</v>
      </c>
      <c r="B300" s="10" t="s">
        <v>763</v>
      </c>
      <c r="C300" s="10" t="s">
        <v>70</v>
      </c>
      <c r="D300" s="10"/>
      <c r="E300" s="19" t="s">
        <v>163</v>
      </c>
      <c r="F300" s="23"/>
      <c r="G300" s="11" t="n">
        <f aca="false">SUMIFS('Issue Log'!$G$2:$G$501,'Issue Log'!$B$2:$B$501,$A300,'Issue Log'!$J$2:$J$501,"Out")</f>
        <v>0</v>
      </c>
      <c r="H300" s="11" t="str">
        <f aca="false">IF($F300="","",$F300-$G300)</f>
        <v/>
      </c>
      <c r="I300" s="23" t="n">
        <v>1</v>
      </c>
      <c r="J300" s="11" t="str">
        <f aca="false">IF($F300="","Not counted",IF($H300&lt;=0,"Out of stock",IF($H300&lt;$I300,"Low stock","In stock")))</f>
        <v>Not counted</v>
      </c>
      <c r="K300" s="5" t="s">
        <v>175</v>
      </c>
      <c r="M300" s="26" t="n">
        <f aca="false">IF(Search!$C$4="",0,IF(ISNUMBER(SEARCH(Search!$C$4,$A300&amp;" "&amp;$B300&amp;" "&amp;$C300&amp;" "&amp;$E300)),1,0))</f>
        <v>0</v>
      </c>
      <c r="N300" s="0" t="str">
        <f aca="false">IF(M300=1,SUM($M$2:M300),"")</f>
        <v/>
      </c>
      <c r="O300" s="26" t="n">
        <f aca="false">IF(OR($J300="Out of stock",$J300="Low stock",$J300="Not counted"),1,0)</f>
        <v>1</v>
      </c>
      <c r="P300" s="26" t="n">
        <f aca="false">IF(O300=1,SUM($O$2:O300),"")</f>
        <v>90</v>
      </c>
    </row>
    <row r="301" customFormat="false" ht="15" hidden="false" customHeight="false" outlineLevel="0" collapsed="false">
      <c r="A301" s="10" t="s">
        <v>764</v>
      </c>
      <c r="B301" s="10" t="s">
        <v>765</v>
      </c>
      <c r="C301" s="10" t="s">
        <v>70</v>
      </c>
      <c r="D301" s="10"/>
      <c r="E301" s="19" t="s">
        <v>163</v>
      </c>
      <c r="F301" s="23"/>
      <c r="G301" s="11" t="n">
        <f aca="false">SUMIFS('Issue Log'!$G$2:$G$501,'Issue Log'!$B$2:$B$501,$A301,'Issue Log'!$J$2:$J$501,"Out")</f>
        <v>0</v>
      </c>
      <c r="H301" s="11" t="str">
        <f aca="false">IF($F301="","",$F301-$G301)</f>
        <v/>
      </c>
      <c r="I301" s="23" t="n">
        <v>1</v>
      </c>
      <c r="J301" s="11" t="str">
        <f aca="false">IF($F301="","Not counted",IF($H301&lt;=0,"Out of stock",IF($H301&lt;$I301,"Low stock","In stock")))</f>
        <v>Not counted</v>
      </c>
      <c r="K301" s="5" t="s">
        <v>175</v>
      </c>
      <c r="M301" s="26" t="n">
        <f aca="false">IF(Search!$C$4="",0,IF(ISNUMBER(SEARCH(Search!$C$4,$A301&amp;" "&amp;$B301&amp;" "&amp;$C301&amp;" "&amp;$E301)),1,0))</f>
        <v>0</v>
      </c>
      <c r="N301" s="0" t="str">
        <f aca="false">IF(M301=1,SUM($M$2:M301),"")</f>
        <v/>
      </c>
      <c r="O301" s="26" t="n">
        <f aca="false">IF(OR($J301="Out of stock",$J301="Low stock",$J301="Not counted"),1,0)</f>
        <v>1</v>
      </c>
      <c r="P301" s="26" t="n">
        <f aca="false">IF(O301=1,SUM($O$2:O301),"")</f>
        <v>91</v>
      </c>
    </row>
    <row r="302" customFormat="false" ht="15" hidden="false" customHeight="false" outlineLevel="0" collapsed="false">
      <c r="A302" s="10" t="s">
        <v>766</v>
      </c>
      <c r="B302" s="10" t="s">
        <v>767</v>
      </c>
      <c r="C302" s="10" t="s">
        <v>70</v>
      </c>
      <c r="D302" s="10"/>
      <c r="E302" s="19" t="s">
        <v>163</v>
      </c>
      <c r="F302" s="23"/>
      <c r="G302" s="11" t="n">
        <f aca="false">SUMIFS('Issue Log'!$G$2:$G$501,'Issue Log'!$B$2:$B$501,$A302,'Issue Log'!$J$2:$J$501,"Out")</f>
        <v>0</v>
      </c>
      <c r="H302" s="11" t="str">
        <f aca="false">IF($F302="","",$F302-$G302)</f>
        <v/>
      </c>
      <c r="I302" s="23" t="n">
        <v>1</v>
      </c>
      <c r="J302" s="11" t="str">
        <f aca="false">IF($F302="","Not counted",IF($H302&lt;=0,"Out of stock",IF($H302&lt;$I302,"Low stock","In stock")))</f>
        <v>Not counted</v>
      </c>
      <c r="K302" s="5" t="s">
        <v>175</v>
      </c>
      <c r="M302" s="26" t="n">
        <f aca="false">IF(Search!$C$4="",0,IF(ISNUMBER(SEARCH(Search!$C$4,$A302&amp;" "&amp;$B302&amp;" "&amp;$C302&amp;" "&amp;$E302)),1,0))</f>
        <v>0</v>
      </c>
      <c r="N302" s="0" t="str">
        <f aca="false">IF(M302=1,SUM($M$2:M302),"")</f>
        <v/>
      </c>
      <c r="O302" s="26" t="n">
        <f aca="false">IF(OR($J302="Out of stock",$J302="Low stock",$J302="Not counted"),1,0)</f>
        <v>1</v>
      </c>
      <c r="P302" s="26" t="n">
        <f aca="false">IF(O302=1,SUM($O$2:O302),"")</f>
        <v>92</v>
      </c>
    </row>
    <row r="303" customFormat="false" ht="15" hidden="false" customHeight="false" outlineLevel="0" collapsed="false">
      <c r="A303" s="10" t="s">
        <v>768</v>
      </c>
      <c r="B303" s="10" t="s">
        <v>769</v>
      </c>
      <c r="C303" s="10" t="s">
        <v>70</v>
      </c>
      <c r="D303" s="10"/>
      <c r="E303" s="19" t="s">
        <v>163</v>
      </c>
      <c r="F303" s="23"/>
      <c r="G303" s="11" t="n">
        <f aca="false">SUMIFS('Issue Log'!$G$2:$G$501,'Issue Log'!$B$2:$B$501,$A303,'Issue Log'!$J$2:$J$501,"Out")</f>
        <v>0</v>
      </c>
      <c r="H303" s="11" t="str">
        <f aca="false">IF($F303="","",$F303-$G303)</f>
        <v/>
      </c>
      <c r="I303" s="23" t="n">
        <v>1</v>
      </c>
      <c r="J303" s="11" t="str">
        <f aca="false">IF($F303="","Not counted",IF($H303&lt;=0,"Out of stock",IF($H303&lt;$I303,"Low stock","In stock")))</f>
        <v>Not counted</v>
      </c>
      <c r="K303" s="5" t="s">
        <v>175</v>
      </c>
      <c r="M303" s="26" t="n">
        <f aca="false">IF(Search!$C$4="",0,IF(ISNUMBER(SEARCH(Search!$C$4,$A303&amp;" "&amp;$B303&amp;" "&amp;$C303&amp;" "&amp;$E303)),1,0))</f>
        <v>0</v>
      </c>
      <c r="N303" s="0" t="str">
        <f aca="false">IF(M303=1,SUM($M$2:M303),"")</f>
        <v/>
      </c>
      <c r="O303" s="26" t="n">
        <f aca="false">IF(OR($J303="Out of stock",$J303="Low stock",$J303="Not counted"),1,0)</f>
        <v>1</v>
      </c>
      <c r="P303" s="26" t="n">
        <f aca="false">IF(O303=1,SUM($O$2:O303),"")</f>
        <v>93</v>
      </c>
    </row>
    <row r="304" customFormat="false" ht="15" hidden="false" customHeight="false" outlineLevel="0" collapsed="false">
      <c r="A304" s="10" t="s">
        <v>770</v>
      </c>
      <c r="B304" s="10" t="s">
        <v>771</v>
      </c>
      <c r="C304" s="10" t="s">
        <v>75</v>
      </c>
      <c r="D304" s="10"/>
      <c r="E304" s="19" t="s">
        <v>163</v>
      </c>
      <c r="F304" s="23"/>
      <c r="G304" s="11" t="n">
        <f aca="false">SUMIFS('Issue Log'!$G$2:$G$501,'Issue Log'!$B$2:$B$501,$A304,'Issue Log'!$J$2:$J$501,"Out")</f>
        <v>0</v>
      </c>
      <c r="H304" s="11" t="str">
        <f aca="false">IF($F304="","",$F304-$G304)</f>
        <v/>
      </c>
      <c r="I304" s="23" t="n">
        <v>2</v>
      </c>
      <c r="J304" s="11" t="str">
        <f aca="false">IF($F304="","Not counted",IF($H304&lt;=0,"Out of stock",IF($H304&lt;$I304,"Low stock","In stock")))</f>
        <v>Not counted</v>
      </c>
      <c r="K304" s="5" t="s">
        <v>175</v>
      </c>
      <c r="M304" s="26" t="n">
        <f aca="false">IF(Search!$C$4="",0,IF(ISNUMBER(SEARCH(Search!$C$4,$A304&amp;" "&amp;$B304&amp;" "&amp;$C304&amp;" "&amp;$E304)),1,0))</f>
        <v>0</v>
      </c>
      <c r="N304" s="0" t="str">
        <f aca="false">IF(M304=1,SUM($M$2:M304),"")</f>
        <v/>
      </c>
      <c r="O304" s="26" t="n">
        <f aca="false">IF(OR($J304="Out of stock",$J304="Low stock",$J304="Not counted"),1,0)</f>
        <v>1</v>
      </c>
      <c r="P304" s="26" t="n">
        <f aca="false">IF(O304=1,SUM($O$2:O304),"")</f>
        <v>94</v>
      </c>
    </row>
    <row r="305" customFormat="false" ht="15" hidden="false" customHeight="false" outlineLevel="0" collapsed="false">
      <c r="A305" s="10" t="s">
        <v>772</v>
      </c>
      <c r="B305" s="10" t="s">
        <v>773</v>
      </c>
      <c r="C305" s="10" t="s">
        <v>73</v>
      </c>
      <c r="D305" s="10"/>
      <c r="E305" s="19" t="s">
        <v>163</v>
      </c>
      <c r="F305" s="23"/>
      <c r="G305" s="11" t="n">
        <f aca="false">SUMIFS('Issue Log'!$G$2:$G$501,'Issue Log'!$B$2:$B$501,$A305,'Issue Log'!$J$2:$J$501,"Out")</f>
        <v>0</v>
      </c>
      <c r="H305" s="11" t="str">
        <f aca="false">IF($F305="","",$F305-$G305)</f>
        <v/>
      </c>
      <c r="I305" s="23" t="n">
        <v>1</v>
      </c>
      <c r="J305" s="11" t="str">
        <f aca="false">IF($F305="","Not counted",IF($H305&lt;=0,"Out of stock",IF($H305&lt;$I305,"Low stock","In stock")))</f>
        <v>Not counted</v>
      </c>
      <c r="K305" s="5" t="s">
        <v>175</v>
      </c>
      <c r="M305" s="26" t="n">
        <f aca="false">IF(Search!$C$4="",0,IF(ISNUMBER(SEARCH(Search!$C$4,$A305&amp;" "&amp;$B305&amp;" "&amp;$C305&amp;" "&amp;$E305)),1,0))</f>
        <v>0</v>
      </c>
      <c r="N305" s="0" t="str">
        <f aca="false">IF(M305=1,SUM($M$2:M305),"")</f>
        <v/>
      </c>
      <c r="O305" s="26" t="n">
        <f aca="false">IF(OR($J305="Out of stock",$J305="Low stock",$J305="Not counted"),1,0)</f>
        <v>1</v>
      </c>
      <c r="P305" s="26" t="n">
        <f aca="false">IF(O305=1,SUM($O$2:O305),"")</f>
        <v>95</v>
      </c>
    </row>
    <row r="306" customFormat="false" ht="15" hidden="false" customHeight="false" outlineLevel="0" collapsed="false">
      <c r="A306" s="10" t="s">
        <v>774</v>
      </c>
      <c r="B306" s="10" t="s">
        <v>775</v>
      </c>
      <c r="C306" s="10" t="s">
        <v>75</v>
      </c>
      <c r="D306" s="10"/>
      <c r="E306" s="19" t="s">
        <v>163</v>
      </c>
      <c r="F306" s="23"/>
      <c r="G306" s="11" t="n">
        <f aca="false">SUMIFS('Issue Log'!$G$2:$G$501,'Issue Log'!$B$2:$B$501,$A306,'Issue Log'!$J$2:$J$501,"Out")</f>
        <v>0</v>
      </c>
      <c r="H306" s="11" t="str">
        <f aca="false">IF($F306="","",$F306-$G306)</f>
        <v/>
      </c>
      <c r="I306" s="23" t="n">
        <v>2</v>
      </c>
      <c r="J306" s="11" t="str">
        <f aca="false">IF($F306="","Not counted",IF($H306&lt;=0,"Out of stock",IF($H306&lt;$I306,"Low stock","In stock")))</f>
        <v>Not counted</v>
      </c>
      <c r="K306" s="5" t="s">
        <v>175</v>
      </c>
      <c r="M306" s="26" t="n">
        <f aca="false">IF(Search!$C$4="",0,IF(ISNUMBER(SEARCH(Search!$C$4,$A306&amp;" "&amp;$B306&amp;" "&amp;$C306&amp;" "&amp;$E306)),1,0))</f>
        <v>0</v>
      </c>
      <c r="N306" s="0" t="str">
        <f aca="false">IF(M306=1,SUM($M$2:M306),"")</f>
        <v/>
      </c>
      <c r="O306" s="26" t="n">
        <f aca="false">IF(OR($J306="Out of stock",$J306="Low stock",$J306="Not counted"),1,0)</f>
        <v>1</v>
      </c>
      <c r="P306" s="26" t="n">
        <f aca="false">IF(O306=1,SUM($O$2:O306),"")</f>
        <v>96</v>
      </c>
    </row>
    <row r="307" customFormat="false" ht="15" hidden="false" customHeight="false" outlineLevel="0" collapsed="false">
      <c r="A307" s="10" t="s">
        <v>776</v>
      </c>
      <c r="B307" s="10" t="s">
        <v>777</v>
      </c>
      <c r="C307" s="10" t="s">
        <v>63</v>
      </c>
      <c r="D307" s="10"/>
      <c r="E307" s="19" t="s">
        <v>163</v>
      </c>
      <c r="F307" s="23"/>
      <c r="G307" s="11" t="n">
        <f aca="false">SUMIFS('Issue Log'!$G$2:$G$501,'Issue Log'!$B$2:$B$501,$A307,'Issue Log'!$J$2:$J$501,"Out")</f>
        <v>0</v>
      </c>
      <c r="H307" s="11" t="str">
        <f aca="false">IF($F307="","",$F307-$G307)</f>
        <v/>
      </c>
      <c r="I307" s="23" t="n">
        <v>1</v>
      </c>
      <c r="J307" s="11" t="str">
        <f aca="false">IF($F307="","Not counted",IF($H307&lt;=0,"Out of stock",IF($H307&lt;$I307,"Low stock","In stock")))</f>
        <v>Not counted</v>
      </c>
      <c r="K307" s="5" t="s">
        <v>175</v>
      </c>
      <c r="M307" s="26" t="n">
        <f aca="false">IF(Search!$C$4="",0,IF(ISNUMBER(SEARCH(Search!$C$4,$A307&amp;" "&amp;$B307&amp;" "&amp;$C307&amp;" "&amp;$E307)),1,0))</f>
        <v>0</v>
      </c>
      <c r="N307" s="0" t="str">
        <f aca="false">IF(M307=1,SUM($M$2:M307),"")</f>
        <v/>
      </c>
      <c r="O307" s="26" t="n">
        <f aca="false">IF(OR($J307="Out of stock",$J307="Low stock",$J307="Not counted"),1,0)</f>
        <v>1</v>
      </c>
      <c r="P307" s="26" t="n">
        <f aca="false">IF(O307=1,SUM($O$2:O307),"")</f>
        <v>97</v>
      </c>
    </row>
    <row r="308" customFormat="false" ht="15" hidden="false" customHeight="false" outlineLevel="0" collapsed="false">
      <c r="A308" s="10" t="s">
        <v>778</v>
      </c>
      <c r="B308" s="10" t="s">
        <v>779</v>
      </c>
      <c r="C308" s="10" t="s">
        <v>61</v>
      </c>
      <c r="D308" s="10"/>
      <c r="E308" s="19" t="s">
        <v>114</v>
      </c>
      <c r="F308" s="23" t="n">
        <v>1</v>
      </c>
      <c r="G308" s="11" t="n">
        <f aca="false">SUMIFS('Issue Log'!$G$2:$G$501,'Issue Log'!$B$2:$B$501,$A308,'Issue Log'!$J$2:$J$501,"Out")</f>
        <v>0</v>
      </c>
      <c r="H308" s="11" t="n">
        <f aca="false">IF($F308="","",$F308-$G308)</f>
        <v>1</v>
      </c>
      <c r="I308" s="23" t="n">
        <v>2</v>
      </c>
      <c r="J308" s="11" t="str">
        <f aca="false">IF($F308="","Not counted",IF($H308&lt;=0,"Out of stock",IF($H308&lt;$I308,"Low stock","In stock")))</f>
        <v>Low stock</v>
      </c>
      <c r="K308" s="5" t="s">
        <v>175</v>
      </c>
      <c r="M308" s="26" t="n">
        <f aca="false">IF(Search!$C$4="",0,IF(ISNUMBER(SEARCH(Search!$C$4,$A308&amp;" "&amp;$B308&amp;" "&amp;$C308&amp;" "&amp;$E308)),1,0))</f>
        <v>0</v>
      </c>
      <c r="N308" s="0" t="str">
        <f aca="false">IF(M308=1,SUM($M$2:M308),"")</f>
        <v/>
      </c>
      <c r="O308" s="26" t="n">
        <f aca="false">IF(OR($J308="Out of stock",$J308="Low stock",$J308="Not counted"),1,0)</f>
        <v>1</v>
      </c>
      <c r="P308" s="26" t="n">
        <f aca="false">IF(O308=1,SUM($O$2:O308),"")</f>
        <v>98</v>
      </c>
    </row>
    <row r="309" customFormat="false" ht="15" hidden="false" customHeight="false" outlineLevel="0" collapsed="false">
      <c r="A309" s="10" t="s">
        <v>780</v>
      </c>
      <c r="B309" s="10" t="s">
        <v>781</v>
      </c>
      <c r="C309" s="10" t="s">
        <v>55</v>
      </c>
      <c r="D309" s="10"/>
      <c r="E309" s="19" t="s">
        <v>163</v>
      </c>
      <c r="F309" s="23"/>
      <c r="G309" s="11" t="n">
        <f aca="false">SUMIFS('Issue Log'!$G$2:$G$501,'Issue Log'!$B$2:$B$501,$A309,'Issue Log'!$J$2:$J$501,"Out")</f>
        <v>0</v>
      </c>
      <c r="H309" s="11" t="str">
        <f aca="false">IF($F309="","",$F309-$G309)</f>
        <v/>
      </c>
      <c r="I309" s="23" t="n">
        <v>1</v>
      </c>
      <c r="J309" s="11" t="str">
        <f aca="false">IF($F309="","Not counted",IF($H309&lt;=0,"Out of stock",IF($H309&lt;$I309,"Low stock","In stock")))</f>
        <v>Not counted</v>
      </c>
      <c r="K309" s="5" t="s">
        <v>175</v>
      </c>
      <c r="M309" s="26" t="n">
        <f aca="false">IF(Search!$C$4="",0,IF(ISNUMBER(SEARCH(Search!$C$4,$A309&amp;" "&amp;$B309&amp;" "&amp;$C309&amp;" "&amp;$E309)),1,0))</f>
        <v>0</v>
      </c>
      <c r="N309" s="0" t="str">
        <f aca="false">IF(M309=1,SUM($M$2:M309),"")</f>
        <v/>
      </c>
      <c r="O309" s="26" t="n">
        <f aca="false">IF(OR($J309="Out of stock",$J309="Low stock",$J309="Not counted"),1,0)</f>
        <v>1</v>
      </c>
      <c r="P309" s="26" t="n">
        <f aca="false">IF(O309=1,SUM($O$2:O309),"")</f>
        <v>99</v>
      </c>
    </row>
    <row r="310" customFormat="false" ht="15" hidden="false" customHeight="false" outlineLevel="0" collapsed="false">
      <c r="A310" s="10" t="s">
        <v>782</v>
      </c>
      <c r="B310" s="10" t="s">
        <v>781</v>
      </c>
      <c r="C310" s="10" t="s">
        <v>55</v>
      </c>
      <c r="D310" s="10"/>
      <c r="E310" s="19" t="s">
        <v>163</v>
      </c>
      <c r="F310" s="23"/>
      <c r="G310" s="11" t="n">
        <f aca="false">SUMIFS('Issue Log'!$G$2:$G$501,'Issue Log'!$B$2:$B$501,$A310,'Issue Log'!$J$2:$J$501,"Out")</f>
        <v>0</v>
      </c>
      <c r="H310" s="11" t="str">
        <f aca="false">IF($F310="","",$F310-$G310)</f>
        <v/>
      </c>
      <c r="I310" s="23" t="n">
        <v>1</v>
      </c>
      <c r="J310" s="11" t="str">
        <f aca="false">IF($F310="","Not counted",IF($H310&lt;=0,"Out of stock",IF($H310&lt;$I310,"Low stock","In stock")))</f>
        <v>Not counted</v>
      </c>
      <c r="K310" s="5" t="s">
        <v>175</v>
      </c>
      <c r="M310" s="26" t="n">
        <f aca="false">IF(Search!$C$4="",0,IF(ISNUMBER(SEARCH(Search!$C$4,$A310&amp;" "&amp;$B310&amp;" "&amp;$C310&amp;" "&amp;$E310)),1,0))</f>
        <v>0</v>
      </c>
      <c r="N310" s="0" t="str">
        <f aca="false">IF(M310=1,SUM($M$2:M310),"")</f>
        <v/>
      </c>
      <c r="O310" s="26" t="n">
        <f aca="false">IF(OR($J310="Out of stock",$J310="Low stock",$J310="Not counted"),1,0)</f>
        <v>1</v>
      </c>
      <c r="P310" s="26" t="n">
        <f aca="false">IF(O310=1,SUM($O$2:O310),"")</f>
        <v>100</v>
      </c>
    </row>
    <row r="311" customFormat="false" ht="15" hidden="false" customHeight="false" outlineLevel="0" collapsed="false">
      <c r="A311" s="10" t="s">
        <v>783</v>
      </c>
      <c r="B311" s="10" t="s">
        <v>784</v>
      </c>
      <c r="C311" s="10" t="s">
        <v>65</v>
      </c>
      <c r="D311" s="10"/>
      <c r="E311" s="19" t="s">
        <v>163</v>
      </c>
      <c r="F311" s="23"/>
      <c r="G311" s="11" t="n">
        <f aca="false">SUMIFS('Issue Log'!$G$2:$G$501,'Issue Log'!$B$2:$B$501,$A311,'Issue Log'!$J$2:$J$501,"Out")</f>
        <v>0</v>
      </c>
      <c r="H311" s="11" t="str">
        <f aca="false">IF($F311="","",$F311-$G311)</f>
        <v/>
      </c>
      <c r="I311" s="23" t="n">
        <v>2</v>
      </c>
      <c r="J311" s="11" t="str">
        <f aca="false">IF($F311="","Not counted",IF($H311&lt;=0,"Out of stock",IF($H311&lt;$I311,"Low stock","In stock")))</f>
        <v>Not counted</v>
      </c>
      <c r="K311" s="5" t="s">
        <v>175</v>
      </c>
      <c r="M311" s="26" t="n">
        <f aca="false">IF(Search!$C$4="",0,IF(ISNUMBER(SEARCH(Search!$C$4,$A311&amp;" "&amp;$B311&amp;" "&amp;$C311&amp;" "&amp;$E311)),1,0))</f>
        <v>0</v>
      </c>
      <c r="N311" s="0" t="str">
        <f aca="false">IF(M311=1,SUM($M$2:M311),"")</f>
        <v/>
      </c>
      <c r="O311" s="26" t="n">
        <f aca="false">IF(OR($J311="Out of stock",$J311="Low stock",$J311="Not counted"),1,0)</f>
        <v>1</v>
      </c>
      <c r="P311" s="26" t="n">
        <f aca="false">IF(O311=1,SUM($O$2:O311),"")</f>
        <v>101</v>
      </c>
    </row>
    <row r="312" customFormat="false" ht="15" hidden="false" customHeight="false" outlineLevel="0" collapsed="false">
      <c r="A312" s="10" t="s">
        <v>785</v>
      </c>
      <c r="B312" s="10" t="s">
        <v>786</v>
      </c>
      <c r="C312" s="10" t="s">
        <v>40</v>
      </c>
      <c r="D312" s="10"/>
      <c r="E312" s="19" t="s">
        <v>163</v>
      </c>
      <c r="F312" s="23"/>
      <c r="G312" s="11" t="n">
        <f aca="false">SUMIFS('Issue Log'!$G$2:$G$501,'Issue Log'!$B$2:$B$501,$A312,'Issue Log'!$J$2:$J$501,"Out")</f>
        <v>0</v>
      </c>
      <c r="H312" s="11" t="str">
        <f aca="false">IF($F312="","",$F312-$G312)</f>
        <v/>
      </c>
      <c r="I312" s="23" t="n">
        <v>4</v>
      </c>
      <c r="J312" s="11" t="str">
        <f aca="false">IF($F312="","Not counted",IF($H312&lt;=0,"Out of stock",IF($H312&lt;$I312,"Low stock","In stock")))</f>
        <v>Not counted</v>
      </c>
      <c r="K312" s="5" t="s">
        <v>175</v>
      </c>
      <c r="M312" s="26" t="n">
        <f aca="false">IF(Search!$C$4="",0,IF(ISNUMBER(SEARCH(Search!$C$4,$A312&amp;" "&amp;$B312&amp;" "&amp;$C312&amp;" "&amp;$E312)),1,0))</f>
        <v>0</v>
      </c>
      <c r="N312" s="0" t="str">
        <f aca="false">IF(M312=1,SUM($M$2:M312),"")</f>
        <v/>
      </c>
      <c r="O312" s="26" t="n">
        <f aca="false">IF(OR($J312="Out of stock",$J312="Low stock",$J312="Not counted"),1,0)</f>
        <v>1</v>
      </c>
      <c r="P312" s="26" t="n">
        <f aca="false">IF(O312=1,SUM($O$2:O312),"")</f>
        <v>102</v>
      </c>
    </row>
    <row r="313" customFormat="false" ht="15" hidden="false" customHeight="false" outlineLevel="0" collapsed="false">
      <c r="A313" s="10" t="s">
        <v>787</v>
      </c>
      <c r="B313" s="10" t="s">
        <v>788</v>
      </c>
      <c r="C313" s="10" t="s">
        <v>40</v>
      </c>
      <c r="D313" s="10"/>
      <c r="E313" s="19" t="s">
        <v>163</v>
      </c>
      <c r="F313" s="23"/>
      <c r="G313" s="11" t="n">
        <f aca="false">SUMIFS('Issue Log'!$G$2:$G$501,'Issue Log'!$B$2:$B$501,$A313,'Issue Log'!$J$2:$J$501,"Out")</f>
        <v>0</v>
      </c>
      <c r="H313" s="11" t="str">
        <f aca="false">IF($F313="","",$F313-$G313)</f>
        <v/>
      </c>
      <c r="I313" s="23" t="n">
        <v>4</v>
      </c>
      <c r="J313" s="11" t="str">
        <f aca="false">IF($F313="","Not counted",IF($H313&lt;=0,"Out of stock",IF($H313&lt;$I313,"Low stock","In stock")))</f>
        <v>Not counted</v>
      </c>
      <c r="K313" s="5" t="s">
        <v>175</v>
      </c>
      <c r="M313" s="26" t="n">
        <f aca="false">IF(Search!$C$4="",0,IF(ISNUMBER(SEARCH(Search!$C$4,$A313&amp;" "&amp;$B313&amp;" "&amp;$C313&amp;" "&amp;$E313)),1,0))</f>
        <v>0</v>
      </c>
      <c r="N313" s="0" t="str">
        <f aca="false">IF(M313=1,SUM($M$2:M313),"")</f>
        <v/>
      </c>
      <c r="O313" s="26" t="n">
        <f aca="false">IF(OR($J313="Out of stock",$J313="Low stock",$J313="Not counted"),1,0)</f>
        <v>1</v>
      </c>
      <c r="P313" s="26" t="n">
        <f aca="false">IF(O313=1,SUM($O$2:O313),"")</f>
        <v>103</v>
      </c>
    </row>
    <row r="314" customFormat="false" ht="15" hidden="false" customHeight="false" outlineLevel="0" collapsed="false">
      <c r="A314" s="10" t="s">
        <v>789</v>
      </c>
      <c r="B314" s="10" t="s">
        <v>790</v>
      </c>
      <c r="C314" s="10" t="s">
        <v>75</v>
      </c>
      <c r="D314" s="10"/>
      <c r="E314" s="19" t="s">
        <v>163</v>
      </c>
      <c r="F314" s="23"/>
      <c r="G314" s="11" t="n">
        <f aca="false">SUMIFS('Issue Log'!$G$2:$G$501,'Issue Log'!$B$2:$B$501,$A314,'Issue Log'!$J$2:$J$501,"Out")</f>
        <v>0</v>
      </c>
      <c r="H314" s="11" t="str">
        <f aca="false">IF($F314="","",$F314-$G314)</f>
        <v/>
      </c>
      <c r="I314" s="23" t="n">
        <v>2</v>
      </c>
      <c r="J314" s="11" t="str">
        <f aca="false">IF($F314="","Not counted",IF($H314&lt;=0,"Out of stock",IF($H314&lt;$I314,"Low stock","In stock")))</f>
        <v>Not counted</v>
      </c>
      <c r="K314" s="5" t="s">
        <v>175</v>
      </c>
      <c r="M314" s="26" t="n">
        <f aca="false">IF(Search!$C$4="",0,IF(ISNUMBER(SEARCH(Search!$C$4,$A314&amp;" "&amp;$B314&amp;" "&amp;$C314&amp;" "&amp;$E314)),1,0))</f>
        <v>0</v>
      </c>
      <c r="N314" s="0" t="str">
        <f aca="false">IF(M314=1,SUM($M$2:M314),"")</f>
        <v/>
      </c>
      <c r="O314" s="26" t="n">
        <f aca="false">IF(OR($J314="Out of stock",$J314="Low stock",$J314="Not counted"),1,0)</f>
        <v>1</v>
      </c>
      <c r="P314" s="26" t="n">
        <f aca="false">IF(O314=1,SUM($O$2:O314),"")</f>
        <v>104</v>
      </c>
    </row>
    <row r="315" customFormat="false" ht="15" hidden="false" customHeight="false" outlineLevel="0" collapsed="false">
      <c r="A315" s="10" t="s">
        <v>791</v>
      </c>
      <c r="B315" s="10" t="s">
        <v>792</v>
      </c>
      <c r="C315" s="10" t="s">
        <v>75</v>
      </c>
      <c r="D315" s="10"/>
      <c r="E315" s="19" t="s">
        <v>163</v>
      </c>
      <c r="F315" s="23"/>
      <c r="G315" s="11" t="n">
        <f aca="false">SUMIFS('Issue Log'!$G$2:$G$501,'Issue Log'!$B$2:$B$501,$A315,'Issue Log'!$J$2:$J$501,"Out")</f>
        <v>0</v>
      </c>
      <c r="H315" s="11" t="str">
        <f aca="false">IF($F315="","",$F315-$G315)</f>
        <v/>
      </c>
      <c r="I315" s="23" t="n">
        <v>2</v>
      </c>
      <c r="J315" s="11" t="str">
        <f aca="false">IF($F315="","Not counted",IF($H315&lt;=0,"Out of stock",IF($H315&lt;$I315,"Low stock","In stock")))</f>
        <v>Not counted</v>
      </c>
      <c r="K315" s="5" t="s">
        <v>175</v>
      </c>
      <c r="M315" s="26" t="n">
        <f aca="false">IF(Search!$C$4="",0,IF(ISNUMBER(SEARCH(Search!$C$4,$A315&amp;" "&amp;$B315&amp;" "&amp;$C315&amp;" "&amp;$E315)),1,0))</f>
        <v>0</v>
      </c>
      <c r="N315" s="0" t="str">
        <f aca="false">IF(M315=1,SUM($M$2:M315),"")</f>
        <v/>
      </c>
      <c r="O315" s="26" t="n">
        <f aca="false">IF(OR($J315="Out of stock",$J315="Low stock",$J315="Not counted"),1,0)</f>
        <v>1</v>
      </c>
      <c r="P315" s="26" t="n">
        <f aca="false">IF(O315=1,SUM($O$2:O315),"")</f>
        <v>105</v>
      </c>
    </row>
    <row r="316" customFormat="false" ht="15" hidden="false" customHeight="false" outlineLevel="0" collapsed="false">
      <c r="A316" s="10" t="s">
        <v>793</v>
      </c>
      <c r="B316" s="10" t="s">
        <v>794</v>
      </c>
      <c r="C316" s="10" t="s">
        <v>73</v>
      </c>
      <c r="D316" s="10"/>
      <c r="E316" s="19" t="s">
        <v>163</v>
      </c>
      <c r="F316" s="23"/>
      <c r="G316" s="11" t="n">
        <f aca="false">SUMIFS('Issue Log'!$G$2:$G$501,'Issue Log'!$B$2:$B$501,$A316,'Issue Log'!$J$2:$J$501,"Out")</f>
        <v>0</v>
      </c>
      <c r="H316" s="11" t="str">
        <f aca="false">IF($F316="","",$F316-$G316)</f>
        <v/>
      </c>
      <c r="I316" s="23" t="n">
        <v>1</v>
      </c>
      <c r="J316" s="11" t="str">
        <f aca="false">IF($F316="","Not counted",IF($H316&lt;=0,"Out of stock",IF($H316&lt;$I316,"Low stock","In stock")))</f>
        <v>Not counted</v>
      </c>
      <c r="K316" s="5" t="s">
        <v>175</v>
      </c>
      <c r="M316" s="26" t="n">
        <f aca="false">IF(Search!$C$4="",0,IF(ISNUMBER(SEARCH(Search!$C$4,$A316&amp;" "&amp;$B316&amp;" "&amp;$C316&amp;" "&amp;$E316)),1,0))</f>
        <v>0</v>
      </c>
      <c r="N316" s="0" t="str">
        <f aca="false">IF(M316=1,SUM($M$2:M316),"")</f>
        <v/>
      </c>
      <c r="O316" s="26" t="n">
        <f aca="false">IF(OR($J316="Out of stock",$J316="Low stock",$J316="Not counted"),1,0)</f>
        <v>1</v>
      </c>
      <c r="P316" s="26" t="n">
        <f aca="false">IF(O316=1,SUM($O$2:O316),"")</f>
        <v>106</v>
      </c>
    </row>
    <row r="317" customFormat="false" ht="15" hidden="false" customHeight="false" outlineLevel="0" collapsed="false">
      <c r="A317" s="10" t="s">
        <v>795</v>
      </c>
      <c r="B317" s="10" t="s">
        <v>796</v>
      </c>
      <c r="C317" s="10" t="s">
        <v>73</v>
      </c>
      <c r="D317" s="10"/>
      <c r="E317" s="19" t="s">
        <v>163</v>
      </c>
      <c r="F317" s="23"/>
      <c r="G317" s="11" t="n">
        <f aca="false">SUMIFS('Issue Log'!$G$2:$G$501,'Issue Log'!$B$2:$B$501,$A317,'Issue Log'!$J$2:$J$501,"Out")</f>
        <v>0</v>
      </c>
      <c r="H317" s="11" t="str">
        <f aca="false">IF($F317="","",$F317-$G317)</f>
        <v/>
      </c>
      <c r="I317" s="23" t="n">
        <v>1</v>
      </c>
      <c r="J317" s="11" t="str">
        <f aca="false">IF($F317="","Not counted",IF($H317&lt;=0,"Out of stock",IF($H317&lt;$I317,"Low stock","In stock")))</f>
        <v>Not counted</v>
      </c>
      <c r="K317" s="5" t="s">
        <v>175</v>
      </c>
      <c r="M317" s="26" t="n">
        <f aca="false">IF(Search!$C$4="",0,IF(ISNUMBER(SEARCH(Search!$C$4,$A317&amp;" "&amp;$B317&amp;" "&amp;$C317&amp;" "&amp;$E317)),1,0))</f>
        <v>0</v>
      </c>
      <c r="N317" s="0" t="str">
        <f aca="false">IF(M317=1,SUM($M$2:M317),"")</f>
        <v/>
      </c>
      <c r="O317" s="26" t="n">
        <f aca="false">IF(OR($J317="Out of stock",$J317="Low stock",$J317="Not counted"),1,0)</f>
        <v>1</v>
      </c>
      <c r="P317" s="26" t="n">
        <f aca="false">IF(O317=1,SUM($O$2:O317),"")</f>
        <v>107</v>
      </c>
    </row>
    <row r="318" customFormat="false" ht="15" hidden="false" customHeight="false" outlineLevel="0" collapsed="false">
      <c r="A318" s="10" t="s">
        <v>797</v>
      </c>
      <c r="B318" s="10" t="s">
        <v>798</v>
      </c>
      <c r="C318" s="10" t="s">
        <v>38</v>
      </c>
      <c r="D318" s="10"/>
      <c r="E318" s="19" t="s">
        <v>163</v>
      </c>
      <c r="F318" s="23"/>
      <c r="G318" s="11" t="n">
        <f aca="false">SUMIFS('Issue Log'!$G$2:$G$501,'Issue Log'!$B$2:$B$501,$A318,'Issue Log'!$J$2:$J$501,"Out")</f>
        <v>0</v>
      </c>
      <c r="H318" s="11" t="str">
        <f aca="false">IF($F318="","",$F318-$G318)</f>
        <v/>
      </c>
      <c r="I318" s="23" t="n">
        <v>1</v>
      </c>
      <c r="J318" s="11" t="str">
        <f aca="false">IF($F318="","Not counted",IF($H318&lt;=0,"Out of stock",IF($H318&lt;$I318,"Low stock","In stock")))</f>
        <v>Not counted</v>
      </c>
      <c r="K318" s="5" t="s">
        <v>175</v>
      </c>
      <c r="M318" s="26" t="n">
        <f aca="false">IF(Search!$C$4="",0,IF(ISNUMBER(SEARCH(Search!$C$4,$A318&amp;" "&amp;$B318&amp;" "&amp;$C318&amp;" "&amp;$E318)),1,0))</f>
        <v>0</v>
      </c>
      <c r="N318" s="0" t="str">
        <f aca="false">IF(M318=1,SUM($M$2:M318),"")</f>
        <v/>
      </c>
      <c r="O318" s="26" t="n">
        <f aca="false">IF(OR($J318="Out of stock",$J318="Low stock",$J318="Not counted"),1,0)</f>
        <v>1</v>
      </c>
      <c r="P318" s="26" t="n">
        <f aca="false">IF(O318=1,SUM($O$2:O318),"")</f>
        <v>108</v>
      </c>
    </row>
    <row r="319" customFormat="false" ht="15" hidden="false" customHeight="false" outlineLevel="0" collapsed="false">
      <c r="A319" s="10" t="s">
        <v>799</v>
      </c>
      <c r="B319" s="10" t="s">
        <v>800</v>
      </c>
      <c r="C319" s="10" t="s">
        <v>61</v>
      </c>
      <c r="D319" s="10"/>
      <c r="E319" s="19" t="s">
        <v>163</v>
      </c>
      <c r="F319" s="23"/>
      <c r="G319" s="11" t="n">
        <f aca="false">SUMIFS('Issue Log'!$G$2:$G$501,'Issue Log'!$B$2:$B$501,$A319,'Issue Log'!$J$2:$J$501,"Out")</f>
        <v>0</v>
      </c>
      <c r="H319" s="11" t="str">
        <f aca="false">IF($F319="","",$F319-$G319)</f>
        <v/>
      </c>
      <c r="I319" s="23" t="n">
        <v>2</v>
      </c>
      <c r="J319" s="11" t="str">
        <f aca="false">IF($F319="","Not counted",IF($H319&lt;=0,"Out of stock",IF($H319&lt;$I319,"Low stock","In stock")))</f>
        <v>Not counted</v>
      </c>
      <c r="K319" s="5" t="s">
        <v>175</v>
      </c>
      <c r="M319" s="26" t="n">
        <f aca="false">IF(Search!$C$4="",0,IF(ISNUMBER(SEARCH(Search!$C$4,$A319&amp;" "&amp;$B319&amp;" "&amp;$C319&amp;" "&amp;$E319)),1,0))</f>
        <v>0</v>
      </c>
      <c r="N319" s="0" t="str">
        <f aca="false">IF(M319=1,SUM($M$2:M319),"")</f>
        <v/>
      </c>
      <c r="O319" s="26" t="n">
        <f aca="false">IF(OR($J319="Out of stock",$J319="Low stock",$J319="Not counted"),1,0)</f>
        <v>1</v>
      </c>
      <c r="P319" s="26" t="n">
        <f aca="false">IF(O319=1,SUM($O$2:O319),"")</f>
        <v>109</v>
      </c>
    </row>
    <row r="320" customFormat="false" ht="15" hidden="false" customHeight="false" outlineLevel="0" collapsed="false">
      <c r="A320" s="10" t="s">
        <v>801</v>
      </c>
      <c r="B320" s="10" t="s">
        <v>802</v>
      </c>
      <c r="C320" s="10" t="s">
        <v>56</v>
      </c>
      <c r="D320" s="10"/>
      <c r="E320" s="19" t="s">
        <v>163</v>
      </c>
      <c r="F320" s="23"/>
      <c r="G320" s="11" t="n">
        <f aca="false">SUMIFS('Issue Log'!$G$2:$G$501,'Issue Log'!$B$2:$B$501,$A320,'Issue Log'!$J$2:$J$501,"Out")</f>
        <v>0</v>
      </c>
      <c r="H320" s="11" t="str">
        <f aca="false">IF($F320="","",$F320-$G320)</f>
        <v/>
      </c>
      <c r="I320" s="23" t="n">
        <v>1</v>
      </c>
      <c r="J320" s="11" t="str">
        <f aca="false">IF($F320="","Not counted",IF($H320&lt;=0,"Out of stock",IF($H320&lt;$I320,"Low stock","In stock")))</f>
        <v>Not counted</v>
      </c>
      <c r="K320" s="5" t="s">
        <v>175</v>
      </c>
      <c r="M320" s="26" t="n">
        <f aca="false">IF(Search!$C$4="",0,IF(ISNUMBER(SEARCH(Search!$C$4,$A320&amp;" "&amp;$B320&amp;" "&amp;$C320&amp;" "&amp;$E320)),1,0))</f>
        <v>0</v>
      </c>
      <c r="N320" s="0" t="str">
        <f aca="false">IF(M320=1,SUM($M$2:M320),"")</f>
        <v/>
      </c>
      <c r="O320" s="26" t="n">
        <f aca="false">IF(OR($J320="Out of stock",$J320="Low stock",$J320="Not counted"),1,0)</f>
        <v>1</v>
      </c>
      <c r="P320" s="26" t="n">
        <f aca="false">IF(O320=1,SUM($O$2:O320),"")</f>
        <v>110</v>
      </c>
    </row>
    <row r="321" customFormat="false" ht="15" hidden="false" customHeight="false" outlineLevel="0" collapsed="false">
      <c r="A321" s="10" t="s">
        <v>803</v>
      </c>
      <c r="B321" s="10" t="s">
        <v>804</v>
      </c>
      <c r="C321" s="10" t="s">
        <v>56</v>
      </c>
      <c r="D321" s="10"/>
      <c r="E321" s="19" t="s">
        <v>163</v>
      </c>
      <c r="F321" s="23"/>
      <c r="G321" s="11" t="n">
        <f aca="false">SUMIFS('Issue Log'!$G$2:$G$501,'Issue Log'!$B$2:$B$501,$A321,'Issue Log'!$J$2:$J$501,"Out")</f>
        <v>0</v>
      </c>
      <c r="H321" s="11" t="str">
        <f aca="false">IF($F321="","",$F321-$G321)</f>
        <v/>
      </c>
      <c r="I321" s="23" t="n">
        <v>1</v>
      </c>
      <c r="J321" s="11" t="str">
        <f aca="false">IF($F321="","Not counted",IF($H321&lt;=0,"Out of stock",IF($H321&lt;$I321,"Low stock","In stock")))</f>
        <v>Not counted</v>
      </c>
      <c r="K321" s="5" t="s">
        <v>175</v>
      </c>
      <c r="M321" s="26" t="n">
        <f aca="false">IF(Search!$C$4="",0,IF(ISNUMBER(SEARCH(Search!$C$4,$A321&amp;" "&amp;$B321&amp;" "&amp;$C321&amp;" "&amp;$E321)),1,0))</f>
        <v>0</v>
      </c>
      <c r="N321" s="0" t="str">
        <f aca="false">IF(M321=1,SUM($M$2:M321),"")</f>
        <v/>
      </c>
      <c r="O321" s="26" t="n">
        <f aca="false">IF(OR($J321="Out of stock",$J321="Low stock",$J321="Not counted"),1,0)</f>
        <v>1</v>
      </c>
      <c r="P321" s="26" t="n">
        <f aca="false">IF(O321=1,SUM($O$2:O321),"")</f>
        <v>111</v>
      </c>
    </row>
    <row r="322" customFormat="false" ht="15" hidden="false" customHeight="false" outlineLevel="0" collapsed="false">
      <c r="A322" s="10" t="s">
        <v>805</v>
      </c>
      <c r="B322" s="10" t="s">
        <v>806</v>
      </c>
      <c r="C322" s="10" t="s">
        <v>43</v>
      </c>
      <c r="D322" s="10"/>
      <c r="E322" s="19" t="s">
        <v>163</v>
      </c>
      <c r="F322" s="23"/>
      <c r="G322" s="11" t="n">
        <f aca="false">SUMIFS('Issue Log'!$G$2:$G$501,'Issue Log'!$B$2:$B$501,$A322,'Issue Log'!$J$2:$J$501,"Out")</f>
        <v>0</v>
      </c>
      <c r="H322" s="11" t="str">
        <f aca="false">IF($F322="","",$F322-$G322)</f>
        <v/>
      </c>
      <c r="I322" s="23" t="n">
        <v>1</v>
      </c>
      <c r="J322" s="11" t="str">
        <f aca="false">IF($F322="","Not counted",IF($H322&lt;=0,"Out of stock",IF($H322&lt;$I322,"Low stock","In stock")))</f>
        <v>Not counted</v>
      </c>
      <c r="K322" s="5" t="s">
        <v>175</v>
      </c>
      <c r="M322" s="26" t="n">
        <f aca="false">IF(Search!$C$4="",0,IF(ISNUMBER(SEARCH(Search!$C$4,$A322&amp;" "&amp;$B322&amp;" "&amp;$C322&amp;" "&amp;$E322)),1,0))</f>
        <v>0</v>
      </c>
      <c r="N322" s="0" t="str">
        <f aca="false">IF(M322=1,SUM($M$2:M322),"")</f>
        <v/>
      </c>
      <c r="O322" s="26" t="n">
        <f aca="false">IF(OR($J322="Out of stock",$J322="Low stock",$J322="Not counted"),1,0)</f>
        <v>1</v>
      </c>
      <c r="P322" s="26" t="n">
        <f aca="false">IF(O322=1,SUM($O$2:O322),"")</f>
        <v>112</v>
      </c>
    </row>
    <row r="323" customFormat="false" ht="15" hidden="false" customHeight="false" outlineLevel="0" collapsed="false">
      <c r="A323" s="10" t="s">
        <v>807</v>
      </c>
      <c r="B323" s="10" t="s">
        <v>808</v>
      </c>
      <c r="C323" s="10" t="s">
        <v>41</v>
      </c>
      <c r="D323" s="10"/>
      <c r="E323" s="19" t="s">
        <v>163</v>
      </c>
      <c r="F323" s="23"/>
      <c r="G323" s="11" t="n">
        <f aca="false">SUMIFS('Issue Log'!$G$2:$G$501,'Issue Log'!$B$2:$B$501,$A323,'Issue Log'!$J$2:$J$501,"Out")</f>
        <v>0</v>
      </c>
      <c r="H323" s="11" t="str">
        <f aca="false">IF($F323="","",$F323-$G323)</f>
        <v/>
      </c>
      <c r="I323" s="23" t="n">
        <v>1</v>
      </c>
      <c r="J323" s="11" t="str">
        <f aca="false">IF($F323="","Not counted",IF($H323&lt;=0,"Out of stock",IF($H323&lt;$I323,"Low stock","In stock")))</f>
        <v>Not counted</v>
      </c>
      <c r="K323" s="5" t="s">
        <v>175</v>
      </c>
      <c r="M323" s="26" t="n">
        <f aca="false">IF(Search!$C$4="",0,IF(ISNUMBER(SEARCH(Search!$C$4,$A323&amp;" "&amp;$B323&amp;" "&amp;$C323&amp;" "&amp;$E323)),1,0))</f>
        <v>0</v>
      </c>
      <c r="N323" s="0" t="str">
        <f aca="false">IF(M323=1,SUM($M$2:M323),"")</f>
        <v/>
      </c>
      <c r="O323" s="26" t="n">
        <f aca="false">IF(OR($J323="Out of stock",$J323="Low stock",$J323="Not counted"),1,0)</f>
        <v>1</v>
      </c>
      <c r="P323" s="26" t="n">
        <f aca="false">IF(O323=1,SUM($O$2:O323),"")</f>
        <v>113</v>
      </c>
    </row>
    <row r="324" customFormat="false" ht="15" hidden="false" customHeight="false" outlineLevel="0" collapsed="false">
      <c r="A324" s="10" t="s">
        <v>809</v>
      </c>
      <c r="B324" s="10" t="s">
        <v>810</v>
      </c>
      <c r="C324" s="10" t="s">
        <v>41</v>
      </c>
      <c r="D324" s="10"/>
      <c r="E324" s="19" t="s">
        <v>163</v>
      </c>
      <c r="F324" s="23"/>
      <c r="G324" s="11" t="n">
        <f aca="false">SUMIFS('Issue Log'!$G$2:$G$501,'Issue Log'!$B$2:$B$501,$A324,'Issue Log'!$J$2:$J$501,"Out")</f>
        <v>0</v>
      </c>
      <c r="H324" s="11" t="str">
        <f aca="false">IF($F324="","",$F324-$G324)</f>
        <v/>
      </c>
      <c r="I324" s="23" t="n">
        <v>1</v>
      </c>
      <c r="J324" s="11" t="str">
        <f aca="false">IF($F324="","Not counted",IF($H324&lt;=0,"Out of stock",IF($H324&lt;$I324,"Low stock","In stock")))</f>
        <v>Not counted</v>
      </c>
      <c r="K324" s="5" t="s">
        <v>175</v>
      </c>
      <c r="M324" s="26" t="n">
        <f aca="false">IF(Search!$C$4="",0,IF(ISNUMBER(SEARCH(Search!$C$4,$A324&amp;" "&amp;$B324&amp;" "&amp;$C324&amp;" "&amp;$E324)),1,0))</f>
        <v>0</v>
      </c>
      <c r="N324" s="0" t="str">
        <f aca="false">IF(M324=1,SUM($M$2:M324),"")</f>
        <v/>
      </c>
      <c r="O324" s="26" t="n">
        <f aca="false">IF(OR($J324="Out of stock",$J324="Low stock",$J324="Not counted"),1,0)</f>
        <v>1</v>
      </c>
      <c r="P324" s="26" t="n">
        <f aca="false">IF(O324=1,SUM($O$2:O324),"")</f>
        <v>114</v>
      </c>
    </row>
    <row r="325" customFormat="false" ht="15" hidden="false" customHeight="false" outlineLevel="0" collapsed="false">
      <c r="A325" s="10" t="s">
        <v>811</v>
      </c>
      <c r="B325" s="10" t="s">
        <v>812</v>
      </c>
      <c r="C325" s="10" t="s">
        <v>59</v>
      </c>
      <c r="D325" s="10"/>
      <c r="E325" s="19" t="s">
        <v>163</v>
      </c>
      <c r="F325" s="23"/>
      <c r="G325" s="11" t="n">
        <f aca="false">SUMIFS('Issue Log'!$G$2:$G$501,'Issue Log'!$B$2:$B$501,$A325,'Issue Log'!$J$2:$J$501,"Out")</f>
        <v>0</v>
      </c>
      <c r="H325" s="11" t="str">
        <f aca="false">IF($F325="","",$F325-$G325)</f>
        <v/>
      </c>
      <c r="I325" s="23" t="n">
        <v>2</v>
      </c>
      <c r="J325" s="11" t="str">
        <f aca="false">IF($F325="","Not counted",IF($H325&lt;=0,"Out of stock",IF($H325&lt;$I325,"Low stock","In stock")))</f>
        <v>Not counted</v>
      </c>
      <c r="K325" s="5" t="s">
        <v>175</v>
      </c>
      <c r="M325" s="26" t="n">
        <f aca="false">IF(Search!$C$4="",0,IF(ISNUMBER(SEARCH(Search!$C$4,$A325&amp;" "&amp;$B325&amp;" "&amp;$C325&amp;" "&amp;$E325)),1,0))</f>
        <v>0</v>
      </c>
      <c r="N325" s="0" t="str">
        <f aca="false">IF(M325=1,SUM($M$2:M325),"")</f>
        <v/>
      </c>
      <c r="O325" s="26" t="n">
        <f aca="false">IF(OR($J325="Out of stock",$J325="Low stock",$J325="Not counted"),1,0)</f>
        <v>1</v>
      </c>
      <c r="P325" s="26" t="n">
        <f aca="false">IF(O325=1,SUM($O$2:O325),"")</f>
        <v>115</v>
      </c>
    </row>
    <row r="326" customFormat="false" ht="15" hidden="false" customHeight="false" outlineLevel="0" collapsed="false">
      <c r="A326" s="10" t="s">
        <v>813</v>
      </c>
      <c r="B326" s="10" t="s">
        <v>814</v>
      </c>
      <c r="C326" s="10" t="s">
        <v>60</v>
      </c>
      <c r="D326" s="10"/>
      <c r="E326" s="19" t="s">
        <v>163</v>
      </c>
      <c r="F326" s="23"/>
      <c r="G326" s="11" t="n">
        <f aca="false">SUMIFS('Issue Log'!$G$2:$G$501,'Issue Log'!$B$2:$B$501,$A326,'Issue Log'!$J$2:$J$501,"Out")</f>
        <v>0</v>
      </c>
      <c r="H326" s="11" t="str">
        <f aca="false">IF($F326="","",$F326-$G326)</f>
        <v/>
      </c>
      <c r="I326" s="23" t="n">
        <v>2</v>
      </c>
      <c r="J326" s="11" t="str">
        <f aca="false">IF($F326="","Not counted",IF($H326&lt;=0,"Out of stock",IF($H326&lt;$I326,"Low stock","In stock")))</f>
        <v>Not counted</v>
      </c>
      <c r="K326" s="5" t="s">
        <v>175</v>
      </c>
      <c r="M326" s="26" t="n">
        <f aca="false">IF(Search!$C$4="",0,IF(ISNUMBER(SEARCH(Search!$C$4,$A326&amp;" "&amp;$B326&amp;" "&amp;$C326&amp;" "&amp;$E326)),1,0))</f>
        <v>0</v>
      </c>
      <c r="N326" s="0" t="str">
        <f aca="false">IF(M326=1,SUM($M$2:M326),"")</f>
        <v/>
      </c>
      <c r="O326" s="26" t="n">
        <f aca="false">IF(OR($J326="Out of stock",$J326="Low stock",$J326="Not counted"),1,0)</f>
        <v>1</v>
      </c>
      <c r="P326" s="26" t="n">
        <f aca="false">IF(O326=1,SUM($O$2:O326),"")</f>
        <v>116</v>
      </c>
    </row>
    <row r="327" customFormat="false" ht="15" hidden="false" customHeight="false" outlineLevel="0" collapsed="false">
      <c r="A327" s="10" t="s">
        <v>815</v>
      </c>
      <c r="B327" s="10" t="s">
        <v>816</v>
      </c>
      <c r="C327" s="10" t="s">
        <v>57</v>
      </c>
      <c r="D327" s="10"/>
      <c r="E327" s="19" t="s">
        <v>163</v>
      </c>
      <c r="F327" s="23"/>
      <c r="G327" s="11" t="n">
        <f aca="false">SUMIFS('Issue Log'!$G$2:$G$501,'Issue Log'!$B$2:$B$501,$A327,'Issue Log'!$J$2:$J$501,"Out")</f>
        <v>0</v>
      </c>
      <c r="H327" s="11" t="str">
        <f aca="false">IF($F327="","",$F327-$G327)</f>
        <v/>
      </c>
      <c r="I327" s="23" t="n">
        <v>1</v>
      </c>
      <c r="J327" s="11" t="str">
        <f aca="false">IF($F327="","Not counted",IF($H327&lt;=0,"Out of stock",IF($H327&lt;$I327,"Low stock","In stock")))</f>
        <v>Not counted</v>
      </c>
      <c r="K327" s="5" t="s">
        <v>175</v>
      </c>
      <c r="M327" s="26" t="n">
        <f aca="false">IF(Search!$C$4="",0,IF(ISNUMBER(SEARCH(Search!$C$4,$A327&amp;" "&amp;$B327&amp;" "&amp;$C327&amp;" "&amp;$E327)),1,0))</f>
        <v>0</v>
      </c>
      <c r="N327" s="0" t="str">
        <f aca="false">IF(M327=1,SUM($M$2:M327),"")</f>
        <v/>
      </c>
      <c r="O327" s="26" t="n">
        <f aca="false">IF(OR($J327="Out of stock",$J327="Low stock",$J327="Not counted"),1,0)</f>
        <v>1</v>
      </c>
      <c r="P327" s="26" t="n">
        <f aca="false">IF(O327=1,SUM($O$2:O327),"")</f>
        <v>117</v>
      </c>
    </row>
    <row r="328" customFormat="false" ht="15" hidden="false" customHeight="false" outlineLevel="0" collapsed="false">
      <c r="A328" s="10" t="s">
        <v>817</v>
      </c>
      <c r="B328" s="10" t="s">
        <v>818</v>
      </c>
      <c r="C328" s="10" t="s">
        <v>56</v>
      </c>
      <c r="D328" s="10"/>
      <c r="E328" s="19" t="s">
        <v>163</v>
      </c>
      <c r="F328" s="23" t="n">
        <v>1</v>
      </c>
      <c r="G328" s="11" t="n">
        <f aca="false">SUMIFS('Issue Log'!$G$2:$G$501,'Issue Log'!$B$2:$B$501,$A328,'Issue Log'!$J$2:$J$501,"Out")</f>
        <v>0</v>
      </c>
      <c r="H328" s="11" t="n">
        <f aca="false">IF($F328="","",$F328-$G328)</f>
        <v>1</v>
      </c>
      <c r="I328" s="23" t="n">
        <v>1</v>
      </c>
      <c r="J328" s="11" t="str">
        <f aca="false">IF($F328="","Not counted",IF($H328&lt;=0,"Out of stock",IF($H328&lt;$I328,"Low stock","In stock")))</f>
        <v>In stock</v>
      </c>
      <c r="K328" s="5" t="s">
        <v>175</v>
      </c>
      <c r="M328" s="26" t="n">
        <f aca="false">IF(Search!$C$4="",0,IF(ISNUMBER(SEARCH(Search!$C$4,$A328&amp;" "&amp;$B328&amp;" "&amp;$C328&amp;" "&amp;$E328)),1,0))</f>
        <v>0</v>
      </c>
      <c r="N328" s="0" t="str">
        <f aca="false">IF(M328=1,SUM($M$2:M328),"")</f>
        <v/>
      </c>
      <c r="O328" s="26" t="n">
        <f aca="false">IF(OR($J328="Out of stock",$J328="Low stock",$J328="Not counted"),1,0)</f>
        <v>0</v>
      </c>
      <c r="P328" s="0" t="str">
        <f aca="false">IF(O328=1,SUM($O$2:O328),"")</f>
        <v/>
      </c>
    </row>
    <row r="329" customFormat="false" ht="15" hidden="false" customHeight="false" outlineLevel="0" collapsed="false">
      <c r="A329" s="10" t="s">
        <v>819</v>
      </c>
      <c r="B329" s="10" t="s">
        <v>820</v>
      </c>
      <c r="C329" s="10" t="s">
        <v>56</v>
      </c>
      <c r="D329" s="10"/>
      <c r="E329" s="19" t="s">
        <v>163</v>
      </c>
      <c r="F329" s="23" t="n">
        <v>3</v>
      </c>
      <c r="G329" s="11" t="n">
        <f aca="false">SUMIFS('Issue Log'!$G$2:$G$501,'Issue Log'!$B$2:$B$501,$A329,'Issue Log'!$J$2:$J$501,"Out")</f>
        <v>0</v>
      </c>
      <c r="H329" s="11" t="n">
        <f aca="false">IF($F329="","",$F329-$G329)</f>
        <v>3</v>
      </c>
      <c r="I329" s="23" t="n">
        <v>1</v>
      </c>
      <c r="J329" s="11" t="str">
        <f aca="false">IF($F329="","Not counted",IF($H329&lt;=0,"Out of stock",IF($H329&lt;$I329,"Low stock","In stock")))</f>
        <v>In stock</v>
      </c>
      <c r="K329" s="5" t="s">
        <v>175</v>
      </c>
      <c r="M329" s="26" t="n">
        <f aca="false">IF(Search!$C$4="",0,IF(ISNUMBER(SEARCH(Search!$C$4,$A329&amp;" "&amp;$B329&amp;" "&amp;$C329&amp;" "&amp;$E329)),1,0))</f>
        <v>0</v>
      </c>
      <c r="N329" s="0" t="str">
        <f aca="false">IF(M329=1,SUM($M$2:M329),"")</f>
        <v/>
      </c>
      <c r="O329" s="26" t="n">
        <f aca="false">IF(OR($J329="Out of stock",$J329="Low stock",$J329="Not counted"),1,0)</f>
        <v>0</v>
      </c>
      <c r="P329" s="0" t="str">
        <f aca="false">IF(O329=1,SUM($O$2:O329),"")</f>
        <v/>
      </c>
    </row>
    <row r="330" customFormat="false" ht="15" hidden="false" customHeight="false" outlineLevel="0" collapsed="false">
      <c r="A330" s="10" t="s">
        <v>821</v>
      </c>
      <c r="B330" s="10" t="s">
        <v>822</v>
      </c>
      <c r="C330" s="10" t="s">
        <v>34</v>
      </c>
      <c r="D330" s="10"/>
      <c r="E330" s="19" t="s">
        <v>163</v>
      </c>
      <c r="F330" s="23" t="n">
        <v>2</v>
      </c>
      <c r="G330" s="11" t="n">
        <f aca="false">SUMIFS('Issue Log'!$G$2:$G$501,'Issue Log'!$B$2:$B$501,$A330,'Issue Log'!$J$2:$J$501,"Out")</f>
        <v>0</v>
      </c>
      <c r="H330" s="11" t="n">
        <f aca="false">IF($F330="","",$F330-$G330)</f>
        <v>2</v>
      </c>
      <c r="I330" s="23" t="n">
        <v>1</v>
      </c>
      <c r="J330" s="11" t="str">
        <f aca="false">IF($F330="","Not counted",IF($H330&lt;=0,"Out of stock",IF($H330&lt;$I330,"Low stock","In stock")))</f>
        <v>In stock</v>
      </c>
      <c r="K330" s="5" t="s">
        <v>175</v>
      </c>
      <c r="M330" s="26" t="n">
        <f aca="false">IF(Search!$C$4="",0,IF(ISNUMBER(SEARCH(Search!$C$4,$A330&amp;" "&amp;$B330&amp;" "&amp;$C330&amp;" "&amp;$E330)),1,0))</f>
        <v>0</v>
      </c>
      <c r="N330" s="0" t="str">
        <f aca="false">IF(M330=1,SUM($M$2:M330),"")</f>
        <v/>
      </c>
      <c r="O330" s="26" t="n">
        <f aca="false">IF(OR($J330="Out of stock",$J330="Low stock",$J330="Not counted"),1,0)</f>
        <v>0</v>
      </c>
      <c r="P330" s="0" t="str">
        <f aca="false">IF(O330=1,SUM($O$2:O330),"")</f>
        <v/>
      </c>
    </row>
    <row r="331" customFormat="false" ht="15" hidden="false" customHeight="false" outlineLevel="0" collapsed="false">
      <c r="A331" s="10" t="s">
        <v>823</v>
      </c>
      <c r="B331" s="10" t="s">
        <v>824</v>
      </c>
      <c r="C331" s="10" t="s">
        <v>25</v>
      </c>
      <c r="D331" s="10"/>
      <c r="E331" s="19" t="s">
        <v>156</v>
      </c>
      <c r="F331" s="23" t="n">
        <v>3</v>
      </c>
      <c r="G331" s="11" t="n">
        <f aca="false">SUMIFS('Issue Log'!$G$2:$G$501,'Issue Log'!$B$2:$B$501,$A331,'Issue Log'!$J$2:$J$501,"Out")</f>
        <v>0</v>
      </c>
      <c r="H331" s="11" t="n">
        <f aca="false">IF($F331="","",$F331-$G331)</f>
        <v>3</v>
      </c>
      <c r="I331" s="23" t="n">
        <v>2</v>
      </c>
      <c r="J331" s="11" t="str">
        <f aca="false">IF($F331="","Not counted",IF($H331&lt;=0,"Out of stock",IF($H331&lt;$I331,"Low stock","In stock")))</f>
        <v>In stock</v>
      </c>
      <c r="K331" s="5" t="s">
        <v>175</v>
      </c>
      <c r="M331" s="26" t="n">
        <f aca="false">IF(Search!$C$4="",0,IF(ISNUMBER(SEARCH(Search!$C$4,$A331&amp;" "&amp;$B331&amp;" "&amp;$C331&amp;" "&amp;$E331)),1,0))</f>
        <v>0</v>
      </c>
      <c r="N331" s="0" t="str">
        <f aca="false">IF(M331=1,SUM($M$2:M331),"")</f>
        <v/>
      </c>
      <c r="O331" s="26" t="n">
        <f aca="false">IF(OR($J331="Out of stock",$J331="Low stock",$J331="Not counted"),1,0)</f>
        <v>0</v>
      </c>
      <c r="P331" s="0" t="str">
        <f aca="false">IF(O331=1,SUM($O$2:O331),"")</f>
        <v/>
      </c>
    </row>
    <row r="332" customFormat="false" ht="15" hidden="false" customHeight="false" outlineLevel="0" collapsed="false">
      <c r="A332" s="10" t="s">
        <v>825</v>
      </c>
      <c r="B332" s="10" t="s">
        <v>810</v>
      </c>
      <c r="C332" s="10" t="s">
        <v>41</v>
      </c>
      <c r="D332" s="10"/>
      <c r="E332" s="19" t="s">
        <v>116</v>
      </c>
      <c r="F332" s="23" t="n">
        <v>1</v>
      </c>
      <c r="G332" s="11" t="n">
        <f aca="false">SUMIFS('Issue Log'!$G$2:$G$501,'Issue Log'!$B$2:$B$501,$A332,'Issue Log'!$J$2:$J$501,"Out")</f>
        <v>0</v>
      </c>
      <c r="H332" s="11" t="n">
        <f aca="false">IF($F332="","",$F332-$G332)</f>
        <v>1</v>
      </c>
      <c r="I332" s="23" t="n">
        <v>1</v>
      </c>
      <c r="J332" s="11" t="str">
        <f aca="false">IF($F332="","Not counted",IF($H332&lt;=0,"Out of stock",IF($H332&lt;$I332,"Low stock","In stock")))</f>
        <v>In stock</v>
      </c>
      <c r="K332" s="5" t="s">
        <v>175</v>
      </c>
      <c r="M332" s="26" t="n">
        <f aca="false">IF(Search!$C$4="",0,IF(ISNUMBER(SEARCH(Search!$C$4,$A332&amp;" "&amp;$B332&amp;" "&amp;$C332&amp;" "&amp;$E332)),1,0))</f>
        <v>0</v>
      </c>
      <c r="N332" s="0" t="str">
        <f aca="false">IF(M332=1,SUM($M$2:M332),"")</f>
        <v/>
      </c>
      <c r="O332" s="26" t="n">
        <f aca="false">IF(OR($J332="Out of stock",$J332="Low stock",$J332="Not counted"),1,0)</f>
        <v>0</v>
      </c>
      <c r="P332" s="0" t="str">
        <f aca="false">IF(O332=1,SUM($O$2:O332),"")</f>
        <v/>
      </c>
    </row>
    <row r="333" customFormat="false" ht="15" hidden="false" customHeight="false" outlineLevel="0" collapsed="false">
      <c r="A333" s="10" t="s">
        <v>826</v>
      </c>
      <c r="B333" s="10" t="s">
        <v>827</v>
      </c>
      <c r="C333" s="10" t="s">
        <v>40</v>
      </c>
      <c r="D333" s="10"/>
      <c r="E333" s="19" t="s">
        <v>163</v>
      </c>
      <c r="F333" s="23" t="n">
        <v>15</v>
      </c>
      <c r="G333" s="11" t="n">
        <f aca="false">SUMIFS('Issue Log'!$G$2:$G$501,'Issue Log'!$B$2:$B$501,$A333,'Issue Log'!$J$2:$J$501,"Out")</f>
        <v>0</v>
      </c>
      <c r="H333" s="11" t="n">
        <f aca="false">IF($F333="","",$F333-$G333)</f>
        <v>15</v>
      </c>
      <c r="I333" s="23" t="n">
        <v>4</v>
      </c>
      <c r="J333" s="11" t="str">
        <f aca="false">IF($F333="","Not counted",IF($H333&lt;=0,"Out of stock",IF($H333&lt;$I333,"Low stock","In stock")))</f>
        <v>In stock</v>
      </c>
      <c r="K333" s="5" t="s">
        <v>175</v>
      </c>
      <c r="M333" s="26" t="n">
        <f aca="false">IF(Search!$C$4="",0,IF(ISNUMBER(SEARCH(Search!$C$4,$A333&amp;" "&amp;$B333&amp;" "&amp;$C333&amp;" "&amp;$E333)),1,0))</f>
        <v>0</v>
      </c>
      <c r="N333" s="0" t="str">
        <f aca="false">IF(M333=1,SUM($M$2:M333),"")</f>
        <v/>
      </c>
      <c r="O333" s="26" t="n">
        <f aca="false">IF(OR($J333="Out of stock",$J333="Low stock",$J333="Not counted"),1,0)</f>
        <v>0</v>
      </c>
      <c r="P333" s="0" t="str">
        <f aca="false">IF(O333=1,SUM($O$2:O333),"")</f>
        <v/>
      </c>
    </row>
    <row r="334" customFormat="false" ht="15" hidden="false" customHeight="false" outlineLevel="0" collapsed="false">
      <c r="A334" s="10" t="s">
        <v>828</v>
      </c>
      <c r="B334" s="10" t="s">
        <v>829</v>
      </c>
      <c r="C334" s="10" t="s">
        <v>22</v>
      </c>
      <c r="D334" s="10"/>
      <c r="E334" s="19" t="s">
        <v>162</v>
      </c>
      <c r="F334" s="23" t="n">
        <v>5</v>
      </c>
      <c r="G334" s="11" t="n">
        <f aca="false">SUMIFS('Issue Log'!$G$2:$G$501,'Issue Log'!$B$2:$B$501,$A334,'Issue Log'!$J$2:$J$501,"Out")</f>
        <v>0</v>
      </c>
      <c r="H334" s="11" t="n">
        <f aca="false">IF($F334="","",$F334-$G334)</f>
        <v>5</v>
      </c>
      <c r="I334" s="23" t="n">
        <v>1</v>
      </c>
      <c r="J334" s="11" t="str">
        <f aca="false">IF($F334="","Not counted",IF($H334&lt;=0,"Out of stock",IF($H334&lt;$I334,"Low stock","In stock")))</f>
        <v>In stock</v>
      </c>
      <c r="K334" s="5" t="s">
        <v>175</v>
      </c>
      <c r="M334" s="26" t="n">
        <f aca="false">IF(Search!$C$4="",0,IF(ISNUMBER(SEARCH(Search!$C$4,$A334&amp;" "&amp;$B334&amp;" "&amp;$C334&amp;" "&amp;$E334)),1,0))</f>
        <v>0</v>
      </c>
      <c r="N334" s="0" t="str">
        <f aca="false">IF(M334=1,SUM($M$2:M334),"")</f>
        <v/>
      </c>
      <c r="O334" s="26" t="n">
        <f aca="false">IF(OR($J334="Out of stock",$J334="Low stock",$J334="Not counted"),1,0)</f>
        <v>0</v>
      </c>
      <c r="P334" s="0" t="str">
        <f aca="false">IF(O334=1,SUM($O$2:O334),"")</f>
        <v/>
      </c>
    </row>
    <row r="335" customFormat="false" ht="15" hidden="false" customHeight="false" outlineLevel="0" collapsed="false">
      <c r="A335" s="10" t="s">
        <v>830</v>
      </c>
      <c r="B335" s="10" t="s">
        <v>831</v>
      </c>
      <c r="C335" s="10" t="s">
        <v>40</v>
      </c>
      <c r="D335" s="10"/>
      <c r="E335" s="19" t="s">
        <v>162</v>
      </c>
      <c r="F335" s="23" t="n">
        <v>2</v>
      </c>
      <c r="G335" s="11" t="n">
        <f aca="false">SUMIFS('Issue Log'!$G$2:$G$501,'Issue Log'!$B$2:$B$501,$A335,'Issue Log'!$J$2:$J$501,"Out")</f>
        <v>0</v>
      </c>
      <c r="H335" s="11" t="n">
        <f aca="false">IF($F335="","",$F335-$G335)</f>
        <v>2</v>
      </c>
      <c r="I335" s="23" t="n">
        <v>4</v>
      </c>
      <c r="J335" s="11" t="str">
        <f aca="false">IF($F335="","Not counted",IF($H335&lt;=0,"Out of stock",IF($H335&lt;$I335,"Low stock","In stock")))</f>
        <v>Low stock</v>
      </c>
      <c r="K335" s="5" t="s">
        <v>175</v>
      </c>
      <c r="M335" s="26" t="n">
        <f aca="false">IF(Search!$C$4="",0,IF(ISNUMBER(SEARCH(Search!$C$4,$A335&amp;" "&amp;$B335&amp;" "&amp;$C335&amp;" "&amp;$E335)),1,0))</f>
        <v>0</v>
      </c>
      <c r="N335" s="0" t="str">
        <f aca="false">IF(M335=1,SUM($M$2:M335),"")</f>
        <v/>
      </c>
      <c r="O335" s="26" t="n">
        <f aca="false">IF(OR($J335="Out of stock",$J335="Low stock",$J335="Not counted"),1,0)</f>
        <v>1</v>
      </c>
      <c r="P335" s="26" t="n">
        <f aca="false">IF(O335=1,SUM($O$2:O335),"")</f>
        <v>118</v>
      </c>
    </row>
    <row r="336" customFormat="false" ht="15" hidden="false" customHeight="false" outlineLevel="0" collapsed="false">
      <c r="A336" s="10" t="s">
        <v>832</v>
      </c>
      <c r="B336" s="10" t="s">
        <v>833</v>
      </c>
      <c r="C336" s="10" t="s">
        <v>59</v>
      </c>
      <c r="D336" s="10"/>
      <c r="E336" s="19" t="s">
        <v>135</v>
      </c>
      <c r="F336" s="23" t="n">
        <v>1</v>
      </c>
      <c r="G336" s="11" t="n">
        <f aca="false">SUMIFS('Issue Log'!$G$2:$G$501,'Issue Log'!$B$2:$B$501,$A336,'Issue Log'!$J$2:$J$501,"Out")</f>
        <v>0</v>
      </c>
      <c r="H336" s="11" t="n">
        <f aca="false">IF($F336="","",$F336-$G336)</f>
        <v>1</v>
      </c>
      <c r="I336" s="23" t="n">
        <v>2</v>
      </c>
      <c r="J336" s="11" t="str">
        <f aca="false">IF($F336="","Not counted",IF($H336&lt;=0,"Out of stock",IF($H336&lt;$I336,"Low stock","In stock")))</f>
        <v>Low stock</v>
      </c>
      <c r="K336" s="5" t="s">
        <v>175</v>
      </c>
      <c r="M336" s="26" t="n">
        <f aca="false">IF(Search!$C$4="",0,IF(ISNUMBER(SEARCH(Search!$C$4,$A336&amp;" "&amp;$B336&amp;" "&amp;$C336&amp;" "&amp;$E336)),1,0))</f>
        <v>0</v>
      </c>
      <c r="N336" s="0" t="str">
        <f aca="false">IF(M336=1,SUM($M$2:M336),"")</f>
        <v/>
      </c>
      <c r="O336" s="26" t="n">
        <f aca="false">IF(OR($J336="Out of stock",$J336="Low stock",$J336="Not counted"),1,0)</f>
        <v>1</v>
      </c>
      <c r="P336" s="26" t="n">
        <f aca="false">IF(O336=1,SUM($O$2:O336),"")</f>
        <v>119</v>
      </c>
    </row>
    <row r="337" customFormat="false" ht="15" hidden="false" customHeight="false" outlineLevel="0" collapsed="false">
      <c r="A337" s="10" t="s">
        <v>834</v>
      </c>
      <c r="B337" s="10" t="s">
        <v>835</v>
      </c>
      <c r="C337" s="10" t="s">
        <v>69</v>
      </c>
      <c r="D337" s="10"/>
      <c r="E337" s="19" t="s">
        <v>163</v>
      </c>
      <c r="F337" s="23" t="n">
        <v>0</v>
      </c>
      <c r="G337" s="11" t="n">
        <f aca="false">SUMIFS('Issue Log'!$G$2:$G$501,'Issue Log'!$B$2:$B$501,$A337,'Issue Log'!$J$2:$J$501,"Out")</f>
        <v>0</v>
      </c>
      <c r="H337" s="11" t="n">
        <f aca="false">IF($F337="","",$F337-$G337)</f>
        <v>0</v>
      </c>
      <c r="I337" s="23" t="n">
        <v>2</v>
      </c>
      <c r="J337" s="11" t="str">
        <f aca="false">IF($F337="","Not counted",IF($H337&lt;=0,"Out of stock",IF($H337&lt;$I337,"Low stock","In stock")))</f>
        <v>Out of stock</v>
      </c>
      <c r="K337" s="5" t="s">
        <v>175</v>
      </c>
      <c r="M337" s="26" t="n">
        <f aca="false">IF(Search!$C$4="",0,IF(ISNUMBER(SEARCH(Search!$C$4,$A337&amp;" "&amp;$B337&amp;" "&amp;$C337&amp;" "&amp;$E337)),1,0))</f>
        <v>0</v>
      </c>
      <c r="N337" s="0" t="str">
        <f aca="false">IF(M337=1,SUM($M$2:M337),"")</f>
        <v/>
      </c>
      <c r="O337" s="26" t="n">
        <f aca="false">IF(OR($J337="Out of stock",$J337="Low stock",$J337="Not counted"),1,0)</f>
        <v>1</v>
      </c>
      <c r="P337" s="26" t="n">
        <f aca="false">IF(O337=1,SUM($O$2:O337),"")</f>
        <v>120</v>
      </c>
    </row>
    <row r="338" customFormat="false" ht="15" hidden="false" customHeight="false" outlineLevel="0" collapsed="false">
      <c r="A338" s="10" t="s">
        <v>836</v>
      </c>
      <c r="B338" s="10" t="s">
        <v>837</v>
      </c>
      <c r="C338" s="10" t="s">
        <v>54</v>
      </c>
      <c r="D338" s="10"/>
      <c r="E338" s="19" t="s">
        <v>163</v>
      </c>
      <c r="F338" s="23" t="n">
        <v>0</v>
      </c>
      <c r="G338" s="11" t="n">
        <f aca="false">SUMIFS('Issue Log'!$G$2:$G$501,'Issue Log'!$B$2:$B$501,$A338,'Issue Log'!$J$2:$J$501,"Out")</f>
        <v>0</v>
      </c>
      <c r="H338" s="11" t="n">
        <f aca="false">IF($F338="","",$F338-$G338)</f>
        <v>0</v>
      </c>
      <c r="I338" s="23" t="n">
        <v>5</v>
      </c>
      <c r="J338" s="11" t="str">
        <f aca="false">IF($F338="","Not counted",IF($H338&lt;=0,"Out of stock",IF($H338&lt;$I338,"Low stock","In stock")))</f>
        <v>Out of stock</v>
      </c>
      <c r="K338" s="5" t="s">
        <v>175</v>
      </c>
      <c r="M338" s="26" t="n">
        <f aca="false">IF(Search!$C$4="",0,IF(ISNUMBER(SEARCH(Search!$C$4,$A338&amp;" "&amp;$B338&amp;" "&amp;$C338&amp;" "&amp;$E338)),1,0))</f>
        <v>0</v>
      </c>
      <c r="N338" s="0" t="str">
        <f aca="false">IF(M338=1,SUM($M$2:M338),"")</f>
        <v/>
      </c>
      <c r="O338" s="26" t="n">
        <f aca="false">IF(OR($J338="Out of stock",$J338="Low stock",$J338="Not counted"),1,0)</f>
        <v>1</v>
      </c>
      <c r="P338" s="26" t="n">
        <f aca="false">IF(O338=1,SUM($O$2:O338),"")</f>
        <v>121</v>
      </c>
    </row>
    <row r="339" customFormat="false" ht="15" hidden="false" customHeight="false" outlineLevel="0" collapsed="false">
      <c r="A339" s="10" t="s">
        <v>838</v>
      </c>
      <c r="B339" s="10" t="s">
        <v>839</v>
      </c>
      <c r="C339" s="10" t="s">
        <v>25</v>
      </c>
      <c r="D339" s="10"/>
      <c r="E339" s="19" t="s">
        <v>163</v>
      </c>
      <c r="F339" s="23" t="n">
        <v>0</v>
      </c>
      <c r="G339" s="11" t="n">
        <f aca="false">SUMIFS('Issue Log'!$G$2:$G$501,'Issue Log'!$B$2:$B$501,$A339,'Issue Log'!$J$2:$J$501,"Out")</f>
        <v>0</v>
      </c>
      <c r="H339" s="11" t="n">
        <f aca="false">IF($F339="","",$F339-$G339)</f>
        <v>0</v>
      </c>
      <c r="I339" s="23" t="n">
        <v>2</v>
      </c>
      <c r="J339" s="11" t="str">
        <f aca="false">IF($F339="","Not counted",IF($H339&lt;=0,"Out of stock",IF($H339&lt;$I339,"Low stock","In stock")))</f>
        <v>Out of stock</v>
      </c>
      <c r="K339" s="5" t="s">
        <v>175</v>
      </c>
      <c r="M339" s="26" t="n">
        <f aca="false">IF(Search!$C$4="",0,IF(ISNUMBER(SEARCH(Search!$C$4,$A339&amp;" "&amp;$B339&amp;" "&amp;$C339&amp;" "&amp;$E339)),1,0))</f>
        <v>0</v>
      </c>
      <c r="N339" s="0" t="str">
        <f aca="false">IF(M339=1,SUM($M$2:M339),"")</f>
        <v/>
      </c>
      <c r="O339" s="26" t="n">
        <f aca="false">IF(OR($J339="Out of stock",$J339="Low stock",$J339="Not counted"),1,0)</f>
        <v>1</v>
      </c>
      <c r="P339" s="26" t="n">
        <f aca="false">IF(O339=1,SUM($O$2:O339),"")</f>
        <v>122</v>
      </c>
    </row>
    <row r="340" customFormat="false" ht="15" hidden="false" customHeight="false" outlineLevel="0" collapsed="false">
      <c r="A340" s="10" t="s">
        <v>840</v>
      </c>
      <c r="B340" s="10" t="s">
        <v>841</v>
      </c>
      <c r="C340" s="10" t="s">
        <v>59</v>
      </c>
      <c r="D340" s="10"/>
      <c r="E340" s="19" t="s">
        <v>163</v>
      </c>
      <c r="F340" s="23" t="n">
        <v>1</v>
      </c>
      <c r="G340" s="11" t="n">
        <f aca="false">SUMIFS('Issue Log'!$G$2:$G$501,'Issue Log'!$B$2:$B$501,$A340,'Issue Log'!$J$2:$J$501,"Out")</f>
        <v>0</v>
      </c>
      <c r="H340" s="11" t="n">
        <f aca="false">IF($F340="","",$F340-$G340)</f>
        <v>1</v>
      </c>
      <c r="I340" s="23" t="n">
        <v>2</v>
      </c>
      <c r="J340" s="11" t="str">
        <f aca="false">IF($F340="","Not counted",IF($H340&lt;=0,"Out of stock",IF($H340&lt;$I340,"Low stock","In stock")))</f>
        <v>Low stock</v>
      </c>
      <c r="K340" s="5" t="s">
        <v>175</v>
      </c>
      <c r="M340" s="26" t="n">
        <f aca="false">IF(Search!$C$4="",0,IF(ISNUMBER(SEARCH(Search!$C$4,$A340&amp;" "&amp;$B340&amp;" "&amp;$C340&amp;" "&amp;$E340)),1,0))</f>
        <v>0</v>
      </c>
      <c r="N340" s="0" t="str">
        <f aca="false">IF(M340=1,SUM($M$2:M340),"")</f>
        <v/>
      </c>
      <c r="O340" s="26" t="n">
        <f aca="false">IF(OR($J340="Out of stock",$J340="Low stock",$J340="Not counted"),1,0)</f>
        <v>1</v>
      </c>
      <c r="P340" s="26" t="n">
        <f aca="false">IF(O340=1,SUM($O$2:O340),"")</f>
        <v>123</v>
      </c>
    </row>
    <row r="341" customFormat="false" ht="15" hidden="false" customHeight="false" outlineLevel="0" collapsed="false">
      <c r="A341" s="10" t="s">
        <v>842</v>
      </c>
      <c r="B341" s="10" t="s">
        <v>843</v>
      </c>
      <c r="C341" s="10" t="s">
        <v>69</v>
      </c>
      <c r="D341" s="10"/>
      <c r="E341" s="19" t="s">
        <v>113</v>
      </c>
      <c r="F341" s="23" t="n">
        <v>1</v>
      </c>
      <c r="G341" s="11" t="n">
        <f aca="false">SUMIFS('Issue Log'!$G$2:$G$501,'Issue Log'!$B$2:$B$501,$A341,'Issue Log'!$J$2:$J$501,"Out")</f>
        <v>0</v>
      </c>
      <c r="H341" s="11" t="n">
        <f aca="false">IF($F341="","",$F341-$G341)</f>
        <v>1</v>
      </c>
      <c r="I341" s="23" t="n">
        <v>2</v>
      </c>
      <c r="J341" s="11" t="str">
        <f aca="false">IF($F341="","Not counted",IF($H341&lt;=0,"Out of stock",IF($H341&lt;$I341,"Low stock","In stock")))</f>
        <v>Low stock</v>
      </c>
      <c r="K341" s="5" t="s">
        <v>175</v>
      </c>
      <c r="M341" s="26" t="n">
        <f aca="false">IF(Search!$C$4="",0,IF(ISNUMBER(SEARCH(Search!$C$4,$A341&amp;" "&amp;$B341&amp;" "&amp;$C341&amp;" "&amp;$E341)),1,0))</f>
        <v>0</v>
      </c>
      <c r="N341" s="0" t="str">
        <f aca="false">IF(M341=1,SUM($M$2:M341),"")</f>
        <v/>
      </c>
      <c r="O341" s="26" t="n">
        <f aca="false">IF(OR($J341="Out of stock",$J341="Low stock",$J341="Not counted"),1,0)</f>
        <v>1</v>
      </c>
      <c r="P341" s="26" t="n">
        <f aca="false">IF(O341=1,SUM($O$2:O341),"")</f>
        <v>124</v>
      </c>
    </row>
    <row r="342" customFormat="false" ht="15" hidden="false" customHeight="false" outlineLevel="0" collapsed="false">
      <c r="A342" s="10" t="s">
        <v>844</v>
      </c>
      <c r="B342" s="10" t="s">
        <v>845</v>
      </c>
      <c r="C342" s="10" t="s">
        <v>69</v>
      </c>
      <c r="D342" s="10"/>
      <c r="E342" s="19" t="s">
        <v>113</v>
      </c>
      <c r="F342" s="23" t="n">
        <v>2</v>
      </c>
      <c r="G342" s="11" t="n">
        <f aca="false">SUMIFS('Issue Log'!$G$2:$G$501,'Issue Log'!$B$2:$B$501,$A342,'Issue Log'!$J$2:$J$501,"Out")</f>
        <v>0</v>
      </c>
      <c r="H342" s="11" t="n">
        <f aca="false">IF($F342="","",$F342-$G342)</f>
        <v>2</v>
      </c>
      <c r="I342" s="23" t="n">
        <v>2</v>
      </c>
      <c r="J342" s="11" t="str">
        <f aca="false">IF($F342="","Not counted",IF($H342&lt;=0,"Out of stock",IF($H342&lt;$I342,"Low stock","In stock")))</f>
        <v>In stock</v>
      </c>
      <c r="K342" s="5" t="s">
        <v>175</v>
      </c>
      <c r="M342" s="26" t="n">
        <f aca="false">IF(Search!$C$4="",0,IF(ISNUMBER(SEARCH(Search!$C$4,$A342&amp;" "&amp;$B342&amp;" "&amp;$C342&amp;" "&amp;$E342)),1,0))</f>
        <v>0</v>
      </c>
      <c r="N342" s="0" t="str">
        <f aca="false">IF(M342=1,SUM($M$2:M342),"")</f>
        <v/>
      </c>
      <c r="O342" s="26" t="n">
        <f aca="false">IF(OR($J342="Out of stock",$J342="Low stock",$J342="Not counted"),1,0)</f>
        <v>0</v>
      </c>
      <c r="P342" s="0" t="str">
        <f aca="false">IF(O342=1,SUM($O$2:O342),"")</f>
        <v/>
      </c>
    </row>
    <row r="343" customFormat="false" ht="15" hidden="false" customHeight="false" outlineLevel="0" collapsed="false">
      <c r="A343" s="10" t="s">
        <v>846</v>
      </c>
      <c r="B343" s="10" t="s">
        <v>847</v>
      </c>
      <c r="C343" s="10" t="s">
        <v>69</v>
      </c>
      <c r="D343" s="10"/>
      <c r="E343" s="19" t="s">
        <v>113</v>
      </c>
      <c r="F343" s="23" t="n">
        <v>2</v>
      </c>
      <c r="G343" s="11" t="n">
        <f aca="false">SUMIFS('Issue Log'!$G$2:$G$501,'Issue Log'!$B$2:$B$501,$A343,'Issue Log'!$J$2:$J$501,"Out")</f>
        <v>0</v>
      </c>
      <c r="H343" s="11" t="n">
        <f aca="false">IF($F343="","",$F343-$G343)</f>
        <v>2</v>
      </c>
      <c r="I343" s="23" t="n">
        <v>2</v>
      </c>
      <c r="J343" s="11" t="str">
        <f aca="false">IF($F343="","Not counted",IF($H343&lt;=0,"Out of stock",IF($H343&lt;$I343,"Low stock","In stock")))</f>
        <v>In stock</v>
      </c>
      <c r="K343" s="5" t="s">
        <v>175</v>
      </c>
      <c r="M343" s="26" t="n">
        <f aca="false">IF(Search!$C$4="",0,IF(ISNUMBER(SEARCH(Search!$C$4,$A343&amp;" "&amp;$B343&amp;" "&amp;$C343&amp;" "&amp;$E343)),1,0))</f>
        <v>0</v>
      </c>
      <c r="N343" s="0" t="str">
        <f aca="false">IF(M343=1,SUM($M$2:M343),"")</f>
        <v/>
      </c>
      <c r="O343" s="26" t="n">
        <f aca="false">IF(OR($J343="Out of stock",$J343="Low stock",$J343="Not counted"),1,0)</f>
        <v>0</v>
      </c>
      <c r="P343" s="0" t="str">
        <f aca="false">IF(O343=1,SUM($O$2:O343),"")</f>
        <v/>
      </c>
    </row>
    <row r="344" customFormat="false" ht="15" hidden="false" customHeight="false" outlineLevel="0" collapsed="false">
      <c r="A344" s="10" t="s">
        <v>848</v>
      </c>
      <c r="B344" s="10" t="s">
        <v>849</v>
      </c>
      <c r="C344" s="10" t="s">
        <v>60</v>
      </c>
      <c r="D344" s="10"/>
      <c r="E344" s="19" t="s">
        <v>113</v>
      </c>
      <c r="F344" s="23" t="n">
        <v>3</v>
      </c>
      <c r="G344" s="11" t="n">
        <f aca="false">SUMIFS('Issue Log'!$G$2:$G$501,'Issue Log'!$B$2:$B$501,$A344,'Issue Log'!$J$2:$J$501,"Out")</f>
        <v>0</v>
      </c>
      <c r="H344" s="11" t="n">
        <f aca="false">IF($F344="","",$F344-$G344)</f>
        <v>3</v>
      </c>
      <c r="I344" s="23" t="n">
        <v>2</v>
      </c>
      <c r="J344" s="11" t="str">
        <f aca="false">IF($F344="","Not counted",IF($H344&lt;=0,"Out of stock",IF($H344&lt;$I344,"Low stock","In stock")))</f>
        <v>In stock</v>
      </c>
      <c r="K344" s="5" t="s">
        <v>175</v>
      </c>
      <c r="M344" s="26" t="n">
        <f aca="false">IF(Search!$C$4="",0,IF(ISNUMBER(SEARCH(Search!$C$4,$A344&amp;" "&amp;$B344&amp;" "&amp;$C344&amp;" "&amp;$E344)),1,0))</f>
        <v>0</v>
      </c>
      <c r="N344" s="0" t="str">
        <f aca="false">IF(M344=1,SUM($M$2:M344),"")</f>
        <v/>
      </c>
      <c r="O344" s="26" t="n">
        <f aca="false">IF(OR($J344="Out of stock",$J344="Low stock",$J344="Not counted"),1,0)</f>
        <v>0</v>
      </c>
      <c r="P344" s="0" t="str">
        <f aca="false">IF(O344=1,SUM($O$2:O344),"")</f>
        <v/>
      </c>
    </row>
    <row r="345" customFormat="false" ht="15" hidden="false" customHeight="false" outlineLevel="0" collapsed="false">
      <c r="A345" s="10" t="s">
        <v>850</v>
      </c>
      <c r="B345" s="10" t="s">
        <v>851</v>
      </c>
      <c r="C345" s="10" t="s">
        <v>69</v>
      </c>
      <c r="D345" s="10"/>
      <c r="E345" s="19" t="s">
        <v>113</v>
      </c>
      <c r="F345" s="23" t="n">
        <v>2</v>
      </c>
      <c r="G345" s="11" t="n">
        <f aca="false">SUMIFS('Issue Log'!$G$2:$G$501,'Issue Log'!$B$2:$B$501,$A345,'Issue Log'!$J$2:$J$501,"Out")</f>
        <v>0</v>
      </c>
      <c r="H345" s="11" t="n">
        <f aca="false">IF($F345="","",$F345-$G345)</f>
        <v>2</v>
      </c>
      <c r="I345" s="23" t="n">
        <v>2</v>
      </c>
      <c r="J345" s="11" t="str">
        <f aca="false">IF($F345="","Not counted",IF($H345&lt;=0,"Out of stock",IF($H345&lt;$I345,"Low stock","In stock")))</f>
        <v>In stock</v>
      </c>
      <c r="K345" s="5" t="s">
        <v>175</v>
      </c>
      <c r="M345" s="26" t="n">
        <f aca="false">IF(Search!$C$4="",0,IF(ISNUMBER(SEARCH(Search!$C$4,$A345&amp;" "&amp;$B345&amp;" "&amp;$C345&amp;" "&amp;$E345)),1,0))</f>
        <v>0</v>
      </c>
      <c r="N345" s="0" t="str">
        <f aca="false">IF(M345=1,SUM($M$2:M345),"")</f>
        <v/>
      </c>
      <c r="O345" s="26" t="n">
        <f aca="false">IF(OR($J345="Out of stock",$J345="Low stock",$J345="Not counted"),1,0)</f>
        <v>0</v>
      </c>
      <c r="P345" s="0" t="str">
        <f aca="false">IF(O345=1,SUM($O$2:O345),"")</f>
        <v/>
      </c>
    </row>
    <row r="346" customFormat="false" ht="15" hidden="false" customHeight="false" outlineLevel="0" collapsed="false">
      <c r="A346" s="10" t="s">
        <v>852</v>
      </c>
      <c r="B346" s="10" t="s">
        <v>853</v>
      </c>
      <c r="C346" s="10" t="s">
        <v>44</v>
      </c>
      <c r="D346" s="10"/>
      <c r="E346" s="19" t="s">
        <v>113</v>
      </c>
      <c r="F346" s="23" t="n">
        <v>5</v>
      </c>
      <c r="G346" s="11" t="n">
        <f aca="false">SUMIFS('Issue Log'!$G$2:$G$501,'Issue Log'!$B$2:$B$501,$A346,'Issue Log'!$J$2:$J$501,"Out")</f>
        <v>0</v>
      </c>
      <c r="H346" s="11" t="n">
        <f aca="false">IF($F346="","",$F346-$G346)</f>
        <v>5</v>
      </c>
      <c r="I346" s="23" t="n">
        <v>1</v>
      </c>
      <c r="J346" s="11" t="str">
        <f aca="false">IF($F346="","Not counted",IF($H346&lt;=0,"Out of stock",IF($H346&lt;$I346,"Low stock","In stock")))</f>
        <v>In stock</v>
      </c>
      <c r="K346" s="5" t="s">
        <v>175</v>
      </c>
      <c r="M346" s="26" t="n">
        <f aca="false">IF(Search!$C$4="",0,IF(ISNUMBER(SEARCH(Search!$C$4,$A346&amp;" "&amp;$B346&amp;" "&amp;$C346&amp;" "&amp;$E346)),1,0))</f>
        <v>0</v>
      </c>
      <c r="N346" s="0" t="str">
        <f aca="false">IF(M346=1,SUM($M$2:M346),"")</f>
        <v/>
      </c>
      <c r="O346" s="26" t="n">
        <f aca="false">IF(OR($J346="Out of stock",$J346="Low stock",$J346="Not counted"),1,0)</f>
        <v>0</v>
      </c>
      <c r="P346" s="0" t="str">
        <f aca="false">IF(O346=1,SUM($O$2:O346),"")</f>
        <v/>
      </c>
    </row>
    <row r="347" customFormat="false" ht="15" hidden="false" customHeight="false" outlineLevel="0" collapsed="false">
      <c r="A347" s="10" t="s">
        <v>854</v>
      </c>
      <c r="B347" s="10" t="s">
        <v>855</v>
      </c>
      <c r="C347" s="10" t="s">
        <v>69</v>
      </c>
      <c r="D347" s="10"/>
      <c r="E347" s="19" t="s">
        <v>113</v>
      </c>
      <c r="F347" s="23" t="n">
        <v>1</v>
      </c>
      <c r="G347" s="11" t="n">
        <f aca="false">SUMIFS('Issue Log'!$G$2:$G$501,'Issue Log'!$B$2:$B$501,$A347,'Issue Log'!$J$2:$J$501,"Out")</f>
        <v>0</v>
      </c>
      <c r="H347" s="11" t="n">
        <f aca="false">IF($F347="","",$F347-$G347)</f>
        <v>1</v>
      </c>
      <c r="I347" s="23" t="n">
        <v>2</v>
      </c>
      <c r="J347" s="11" t="str">
        <f aca="false">IF($F347="","Not counted",IF($H347&lt;=0,"Out of stock",IF($H347&lt;$I347,"Low stock","In stock")))</f>
        <v>Low stock</v>
      </c>
      <c r="K347" s="5" t="s">
        <v>175</v>
      </c>
      <c r="M347" s="26" t="n">
        <f aca="false">IF(Search!$C$4="",0,IF(ISNUMBER(SEARCH(Search!$C$4,$A347&amp;" "&amp;$B347&amp;" "&amp;$C347&amp;" "&amp;$E347)),1,0))</f>
        <v>0</v>
      </c>
      <c r="N347" s="0" t="str">
        <f aca="false">IF(M347=1,SUM($M$2:M347),"")</f>
        <v/>
      </c>
      <c r="O347" s="26" t="n">
        <f aca="false">IF(OR($J347="Out of stock",$J347="Low stock",$J347="Not counted"),1,0)</f>
        <v>1</v>
      </c>
      <c r="P347" s="26" t="n">
        <f aca="false">IF(O347=1,SUM($O$2:O347),"")</f>
        <v>125</v>
      </c>
    </row>
    <row r="348" customFormat="false" ht="15" hidden="false" customHeight="false" outlineLevel="0" collapsed="false">
      <c r="A348" s="10" t="s">
        <v>856</v>
      </c>
      <c r="B348" s="10" t="s">
        <v>857</v>
      </c>
      <c r="C348" s="10" t="s">
        <v>69</v>
      </c>
      <c r="D348" s="10"/>
      <c r="E348" s="19" t="s">
        <v>113</v>
      </c>
      <c r="F348" s="23" t="n">
        <v>1</v>
      </c>
      <c r="G348" s="11" t="n">
        <f aca="false">SUMIFS('Issue Log'!$G$2:$G$501,'Issue Log'!$B$2:$B$501,$A348,'Issue Log'!$J$2:$J$501,"Out")</f>
        <v>0</v>
      </c>
      <c r="H348" s="11" t="n">
        <f aca="false">IF($F348="","",$F348-$G348)</f>
        <v>1</v>
      </c>
      <c r="I348" s="23" t="n">
        <v>2</v>
      </c>
      <c r="J348" s="11" t="str">
        <f aca="false">IF($F348="","Not counted",IF($H348&lt;=0,"Out of stock",IF($H348&lt;$I348,"Low stock","In stock")))</f>
        <v>Low stock</v>
      </c>
      <c r="K348" s="5" t="s">
        <v>175</v>
      </c>
      <c r="M348" s="26" t="n">
        <f aca="false">IF(Search!$C$4="",0,IF(ISNUMBER(SEARCH(Search!$C$4,$A348&amp;" "&amp;$B348&amp;" "&amp;$C348&amp;" "&amp;$E348)),1,0))</f>
        <v>0</v>
      </c>
      <c r="N348" s="0" t="str">
        <f aca="false">IF(M348=1,SUM($M$2:M348),"")</f>
        <v/>
      </c>
      <c r="O348" s="26" t="n">
        <f aca="false">IF(OR($J348="Out of stock",$J348="Low stock",$J348="Not counted"),1,0)</f>
        <v>1</v>
      </c>
      <c r="P348" s="26" t="n">
        <f aca="false">IF(O348=1,SUM($O$2:O348),"")</f>
        <v>126</v>
      </c>
    </row>
    <row r="349" customFormat="false" ht="15" hidden="false" customHeight="false" outlineLevel="0" collapsed="false">
      <c r="A349" s="10" t="s">
        <v>858</v>
      </c>
      <c r="B349" s="10" t="s">
        <v>859</v>
      </c>
      <c r="C349" s="10" t="s">
        <v>69</v>
      </c>
      <c r="D349" s="10"/>
      <c r="E349" s="19" t="s">
        <v>119</v>
      </c>
      <c r="F349" s="23" t="n">
        <v>1</v>
      </c>
      <c r="G349" s="11" t="n">
        <f aca="false">SUMIFS('Issue Log'!$G$2:$G$501,'Issue Log'!$B$2:$B$501,$A349,'Issue Log'!$J$2:$J$501,"Out")</f>
        <v>0</v>
      </c>
      <c r="H349" s="11" t="n">
        <f aca="false">IF($F349="","",$F349-$G349)</f>
        <v>1</v>
      </c>
      <c r="I349" s="23" t="n">
        <v>2</v>
      </c>
      <c r="J349" s="11" t="str">
        <f aca="false">IF($F349="","Not counted",IF($H349&lt;=0,"Out of stock",IF($H349&lt;$I349,"Low stock","In stock")))</f>
        <v>Low stock</v>
      </c>
      <c r="K349" s="5" t="s">
        <v>175</v>
      </c>
      <c r="M349" s="26" t="n">
        <f aca="false">IF(Search!$C$4="",0,IF(ISNUMBER(SEARCH(Search!$C$4,$A349&amp;" "&amp;$B349&amp;" "&amp;$C349&amp;" "&amp;$E349)),1,0))</f>
        <v>0</v>
      </c>
      <c r="N349" s="0" t="str">
        <f aca="false">IF(M349=1,SUM($M$2:M349),"")</f>
        <v/>
      </c>
      <c r="O349" s="26" t="n">
        <f aca="false">IF(OR($J349="Out of stock",$J349="Low stock",$J349="Not counted"),1,0)</f>
        <v>1</v>
      </c>
      <c r="P349" s="26" t="n">
        <f aca="false">IF(O349=1,SUM($O$2:O349),"")</f>
        <v>127</v>
      </c>
    </row>
    <row r="350" customFormat="false" ht="15" hidden="false" customHeight="false" outlineLevel="0" collapsed="false">
      <c r="A350" s="10" t="s">
        <v>860</v>
      </c>
      <c r="B350" s="10" t="s">
        <v>861</v>
      </c>
      <c r="C350" s="10" t="s">
        <v>60</v>
      </c>
      <c r="D350" s="10"/>
      <c r="E350" s="19" t="s">
        <v>113</v>
      </c>
      <c r="F350" s="23" t="n">
        <v>4</v>
      </c>
      <c r="G350" s="11" t="n">
        <f aca="false">SUMIFS('Issue Log'!$G$2:$G$501,'Issue Log'!$B$2:$B$501,$A350,'Issue Log'!$J$2:$J$501,"Out")</f>
        <v>0</v>
      </c>
      <c r="H350" s="11" t="n">
        <f aca="false">IF($F350="","",$F350-$G350)</f>
        <v>4</v>
      </c>
      <c r="I350" s="23" t="n">
        <v>2</v>
      </c>
      <c r="J350" s="11" t="str">
        <f aca="false">IF($F350="","Not counted",IF($H350&lt;=0,"Out of stock",IF($H350&lt;$I350,"Low stock","In stock")))</f>
        <v>In stock</v>
      </c>
      <c r="K350" s="5" t="s">
        <v>175</v>
      </c>
      <c r="M350" s="26" t="n">
        <f aca="false">IF(Search!$C$4="",0,IF(ISNUMBER(SEARCH(Search!$C$4,$A350&amp;" "&amp;$B350&amp;" "&amp;$C350&amp;" "&amp;$E350)),1,0))</f>
        <v>0</v>
      </c>
      <c r="N350" s="0" t="str">
        <f aca="false">IF(M350=1,SUM($M$2:M350),"")</f>
        <v/>
      </c>
      <c r="O350" s="26" t="n">
        <f aca="false">IF(OR($J350="Out of stock",$J350="Low stock",$J350="Not counted"),1,0)</f>
        <v>0</v>
      </c>
      <c r="P350" s="0" t="str">
        <f aca="false">IF(O350=1,SUM($O$2:O350),"")</f>
        <v/>
      </c>
    </row>
    <row r="351" customFormat="false" ht="15" hidden="false" customHeight="false" outlineLevel="0" collapsed="false">
      <c r="A351" s="10" t="s">
        <v>862</v>
      </c>
      <c r="B351" s="10" t="s">
        <v>863</v>
      </c>
      <c r="C351" s="10" t="s">
        <v>69</v>
      </c>
      <c r="D351" s="10"/>
      <c r="E351" s="19" t="s">
        <v>161</v>
      </c>
      <c r="F351" s="23" t="n">
        <v>1</v>
      </c>
      <c r="G351" s="11" t="n">
        <f aca="false">SUMIFS('Issue Log'!$G$2:$G$501,'Issue Log'!$B$2:$B$501,$A351,'Issue Log'!$J$2:$J$501,"Out")</f>
        <v>0</v>
      </c>
      <c r="H351" s="11" t="n">
        <f aca="false">IF($F351="","",$F351-$G351)</f>
        <v>1</v>
      </c>
      <c r="I351" s="23" t="n">
        <v>2</v>
      </c>
      <c r="J351" s="11" t="str">
        <f aca="false">IF($F351="","Not counted",IF($H351&lt;=0,"Out of stock",IF($H351&lt;$I351,"Low stock","In stock")))</f>
        <v>Low stock</v>
      </c>
      <c r="K351" s="5" t="s">
        <v>175</v>
      </c>
      <c r="M351" s="26" t="n">
        <f aca="false">IF(Search!$C$4="",0,IF(ISNUMBER(SEARCH(Search!$C$4,$A351&amp;" "&amp;$B351&amp;" "&amp;$C351&amp;" "&amp;$E351)),1,0))</f>
        <v>1</v>
      </c>
      <c r="N351" s="26" t="n">
        <f aca="false">IF(M351=1,SUM($M$2:M351),"")</f>
        <v>46</v>
      </c>
      <c r="O351" s="26" t="n">
        <f aca="false">IF(OR($J351="Out of stock",$J351="Low stock",$J351="Not counted"),1,0)</f>
        <v>1</v>
      </c>
      <c r="P351" s="26" t="n">
        <f aca="false">IF(O351=1,SUM($O$2:O351),"")</f>
        <v>128</v>
      </c>
    </row>
    <row r="352" customFormat="false" ht="15" hidden="false" customHeight="false" outlineLevel="0" collapsed="false">
      <c r="A352" s="10" t="s">
        <v>864</v>
      </c>
      <c r="B352" s="10" t="s">
        <v>865</v>
      </c>
      <c r="C352" s="10" t="s">
        <v>60</v>
      </c>
      <c r="D352" s="10"/>
      <c r="E352" s="19" t="s">
        <v>113</v>
      </c>
      <c r="F352" s="23" t="n">
        <v>2</v>
      </c>
      <c r="G352" s="11" t="n">
        <f aca="false">SUMIFS('Issue Log'!$G$2:$G$501,'Issue Log'!$B$2:$B$501,$A352,'Issue Log'!$J$2:$J$501,"Out")</f>
        <v>0</v>
      </c>
      <c r="H352" s="11" t="n">
        <f aca="false">IF($F352="","",$F352-$G352)</f>
        <v>2</v>
      </c>
      <c r="I352" s="23" t="n">
        <v>2</v>
      </c>
      <c r="J352" s="11" t="str">
        <f aca="false">IF($F352="","Not counted",IF($H352&lt;=0,"Out of stock",IF($H352&lt;$I352,"Low stock","In stock")))</f>
        <v>In stock</v>
      </c>
      <c r="K352" s="5" t="s">
        <v>175</v>
      </c>
      <c r="M352" s="26" t="n">
        <f aca="false">IF(Search!$C$4="",0,IF(ISNUMBER(SEARCH(Search!$C$4,$A352&amp;" "&amp;$B352&amp;" "&amp;$C352&amp;" "&amp;$E352)),1,0))</f>
        <v>0</v>
      </c>
      <c r="N352" s="0" t="str">
        <f aca="false">IF(M352=1,SUM($M$2:M352),"")</f>
        <v/>
      </c>
      <c r="O352" s="26" t="n">
        <f aca="false">IF(OR($J352="Out of stock",$J352="Low stock",$J352="Not counted"),1,0)</f>
        <v>0</v>
      </c>
      <c r="P352" s="0" t="str">
        <f aca="false">IF(O352=1,SUM($O$2:O352),"")</f>
        <v/>
      </c>
    </row>
    <row r="353" customFormat="false" ht="15" hidden="false" customHeight="false" outlineLevel="0" collapsed="false">
      <c r="A353" s="10" t="s">
        <v>866</v>
      </c>
      <c r="B353" s="10" t="s">
        <v>867</v>
      </c>
      <c r="C353" s="10" t="s">
        <v>60</v>
      </c>
      <c r="D353" s="10"/>
      <c r="E353" s="19" t="s">
        <v>113</v>
      </c>
      <c r="F353" s="23" t="n">
        <v>1</v>
      </c>
      <c r="G353" s="11" t="n">
        <f aca="false">SUMIFS('Issue Log'!$G$2:$G$501,'Issue Log'!$B$2:$B$501,$A353,'Issue Log'!$J$2:$J$501,"Out")</f>
        <v>0</v>
      </c>
      <c r="H353" s="11" t="n">
        <f aca="false">IF($F353="","",$F353-$G353)</f>
        <v>1</v>
      </c>
      <c r="I353" s="23" t="n">
        <v>2</v>
      </c>
      <c r="J353" s="11" t="str">
        <f aca="false">IF($F353="","Not counted",IF($H353&lt;=0,"Out of stock",IF($H353&lt;$I353,"Low stock","In stock")))</f>
        <v>Low stock</v>
      </c>
      <c r="K353" s="5" t="s">
        <v>175</v>
      </c>
      <c r="M353" s="26" t="n">
        <f aca="false">IF(Search!$C$4="",0,IF(ISNUMBER(SEARCH(Search!$C$4,$A353&amp;" "&amp;$B353&amp;" "&amp;$C353&amp;" "&amp;$E353)),1,0))</f>
        <v>0</v>
      </c>
      <c r="N353" s="0" t="str">
        <f aca="false">IF(M353=1,SUM($M$2:M353),"")</f>
        <v/>
      </c>
      <c r="O353" s="26" t="n">
        <f aca="false">IF(OR($J353="Out of stock",$J353="Low stock",$J353="Not counted"),1,0)</f>
        <v>1</v>
      </c>
      <c r="P353" s="26" t="n">
        <f aca="false">IF(O353=1,SUM($O$2:O353),"")</f>
        <v>129</v>
      </c>
    </row>
    <row r="354" customFormat="false" ht="15" hidden="false" customHeight="false" outlineLevel="0" collapsed="false">
      <c r="A354" s="10" t="s">
        <v>868</v>
      </c>
      <c r="B354" s="10" t="s">
        <v>869</v>
      </c>
      <c r="C354" s="10" t="s">
        <v>60</v>
      </c>
      <c r="D354" s="10"/>
      <c r="E354" s="19" t="s">
        <v>113</v>
      </c>
      <c r="F354" s="23" t="n">
        <v>1</v>
      </c>
      <c r="G354" s="11" t="n">
        <f aca="false">SUMIFS('Issue Log'!$G$2:$G$501,'Issue Log'!$B$2:$B$501,$A354,'Issue Log'!$J$2:$J$501,"Out")</f>
        <v>0</v>
      </c>
      <c r="H354" s="11" t="n">
        <f aca="false">IF($F354="","",$F354-$G354)</f>
        <v>1</v>
      </c>
      <c r="I354" s="23" t="n">
        <v>2</v>
      </c>
      <c r="J354" s="11" t="str">
        <f aca="false">IF($F354="","Not counted",IF($H354&lt;=0,"Out of stock",IF($H354&lt;$I354,"Low stock","In stock")))</f>
        <v>Low stock</v>
      </c>
      <c r="K354" s="5" t="s">
        <v>175</v>
      </c>
      <c r="M354" s="26" t="n">
        <f aca="false">IF(Search!$C$4="",0,IF(ISNUMBER(SEARCH(Search!$C$4,$A354&amp;" "&amp;$B354&amp;" "&amp;$C354&amp;" "&amp;$E354)),1,0))</f>
        <v>0</v>
      </c>
      <c r="N354" s="0" t="str">
        <f aca="false">IF(M354=1,SUM($M$2:M354),"")</f>
        <v/>
      </c>
      <c r="O354" s="26" t="n">
        <f aca="false">IF(OR($J354="Out of stock",$J354="Low stock",$J354="Not counted"),1,0)</f>
        <v>1</v>
      </c>
      <c r="P354" s="26" t="n">
        <f aca="false">IF(O354=1,SUM($O$2:O354),"")</f>
        <v>130</v>
      </c>
    </row>
    <row r="355" customFormat="false" ht="15" hidden="false" customHeight="false" outlineLevel="0" collapsed="false">
      <c r="A355" s="10" t="s">
        <v>870</v>
      </c>
      <c r="B355" s="10" t="s">
        <v>871</v>
      </c>
      <c r="C355" s="10" t="s">
        <v>60</v>
      </c>
      <c r="D355" s="10"/>
      <c r="E355" s="19" t="s">
        <v>113</v>
      </c>
      <c r="F355" s="23" t="n">
        <v>1</v>
      </c>
      <c r="G355" s="11" t="n">
        <f aca="false">SUMIFS('Issue Log'!$G$2:$G$501,'Issue Log'!$B$2:$B$501,$A355,'Issue Log'!$J$2:$J$501,"Out")</f>
        <v>0</v>
      </c>
      <c r="H355" s="11" t="n">
        <f aca="false">IF($F355="","",$F355-$G355)</f>
        <v>1</v>
      </c>
      <c r="I355" s="23" t="n">
        <v>2</v>
      </c>
      <c r="J355" s="11" t="str">
        <f aca="false">IF($F355="","Not counted",IF($H355&lt;=0,"Out of stock",IF($H355&lt;$I355,"Low stock","In stock")))</f>
        <v>Low stock</v>
      </c>
      <c r="K355" s="5" t="s">
        <v>175</v>
      </c>
      <c r="M355" s="26" t="n">
        <f aca="false">IF(Search!$C$4="",0,IF(ISNUMBER(SEARCH(Search!$C$4,$A355&amp;" "&amp;$B355&amp;" "&amp;$C355&amp;" "&amp;$E355)),1,0))</f>
        <v>0</v>
      </c>
      <c r="N355" s="0" t="str">
        <f aca="false">IF(M355=1,SUM($M$2:M355),"")</f>
        <v/>
      </c>
      <c r="O355" s="26" t="n">
        <f aca="false">IF(OR($J355="Out of stock",$J355="Low stock",$J355="Not counted"),1,0)</f>
        <v>1</v>
      </c>
      <c r="P355" s="26" t="n">
        <f aca="false">IF(O355=1,SUM($O$2:O355),"")</f>
        <v>131</v>
      </c>
    </row>
    <row r="356" customFormat="false" ht="15" hidden="false" customHeight="false" outlineLevel="0" collapsed="false">
      <c r="A356" s="10" t="s">
        <v>872</v>
      </c>
      <c r="B356" s="10" t="s">
        <v>873</v>
      </c>
      <c r="C356" s="10" t="s">
        <v>69</v>
      </c>
      <c r="D356" s="10"/>
      <c r="E356" s="19" t="s">
        <v>113</v>
      </c>
      <c r="F356" s="23" t="n">
        <v>1</v>
      </c>
      <c r="G356" s="11" t="n">
        <f aca="false">SUMIFS('Issue Log'!$G$2:$G$501,'Issue Log'!$B$2:$B$501,$A356,'Issue Log'!$J$2:$J$501,"Out")</f>
        <v>0</v>
      </c>
      <c r="H356" s="11" t="n">
        <f aca="false">IF($F356="","",$F356-$G356)</f>
        <v>1</v>
      </c>
      <c r="I356" s="23" t="n">
        <v>2</v>
      </c>
      <c r="J356" s="11" t="str">
        <f aca="false">IF($F356="","Not counted",IF($H356&lt;=0,"Out of stock",IF($H356&lt;$I356,"Low stock","In stock")))</f>
        <v>Low stock</v>
      </c>
      <c r="K356" s="5" t="s">
        <v>175</v>
      </c>
      <c r="M356" s="26" t="n">
        <f aca="false">IF(Search!$C$4="",0,IF(ISNUMBER(SEARCH(Search!$C$4,$A356&amp;" "&amp;$B356&amp;" "&amp;$C356&amp;" "&amp;$E356)),1,0))</f>
        <v>0</v>
      </c>
      <c r="N356" s="0" t="str">
        <f aca="false">IF(M356=1,SUM($M$2:M356),"")</f>
        <v/>
      </c>
      <c r="O356" s="26" t="n">
        <f aca="false">IF(OR($J356="Out of stock",$J356="Low stock",$J356="Not counted"),1,0)</f>
        <v>1</v>
      </c>
      <c r="P356" s="26" t="n">
        <f aca="false">IF(O356=1,SUM($O$2:O356),"")</f>
        <v>132</v>
      </c>
    </row>
    <row r="357" customFormat="false" ht="15" hidden="false" customHeight="false" outlineLevel="0" collapsed="false">
      <c r="A357" s="10" t="s">
        <v>874</v>
      </c>
      <c r="B357" s="10" t="s">
        <v>875</v>
      </c>
      <c r="C357" s="10" t="s">
        <v>69</v>
      </c>
      <c r="D357" s="10"/>
      <c r="E357" s="19" t="s">
        <v>113</v>
      </c>
      <c r="F357" s="23" t="n">
        <v>1</v>
      </c>
      <c r="G357" s="11" t="n">
        <f aca="false">SUMIFS('Issue Log'!$G$2:$G$501,'Issue Log'!$B$2:$B$501,$A357,'Issue Log'!$J$2:$J$501,"Out")</f>
        <v>0</v>
      </c>
      <c r="H357" s="11" t="n">
        <f aca="false">IF($F357="","",$F357-$G357)</f>
        <v>1</v>
      </c>
      <c r="I357" s="23" t="n">
        <v>2</v>
      </c>
      <c r="J357" s="11" t="str">
        <f aca="false">IF($F357="","Not counted",IF($H357&lt;=0,"Out of stock",IF($H357&lt;$I357,"Low stock","In stock")))</f>
        <v>Low stock</v>
      </c>
      <c r="K357" s="5" t="s">
        <v>175</v>
      </c>
      <c r="M357" s="26" t="n">
        <f aca="false">IF(Search!$C$4="",0,IF(ISNUMBER(SEARCH(Search!$C$4,$A357&amp;" "&amp;$B357&amp;" "&amp;$C357&amp;" "&amp;$E357)),1,0))</f>
        <v>0</v>
      </c>
      <c r="N357" s="0" t="str">
        <f aca="false">IF(M357=1,SUM($M$2:M357),"")</f>
        <v/>
      </c>
      <c r="O357" s="26" t="n">
        <f aca="false">IF(OR($J357="Out of stock",$J357="Low stock",$J357="Not counted"),1,0)</f>
        <v>1</v>
      </c>
      <c r="P357" s="26" t="n">
        <f aca="false">IF(O357=1,SUM($O$2:O357),"")</f>
        <v>133</v>
      </c>
    </row>
    <row r="358" customFormat="false" ht="15" hidden="false" customHeight="false" outlineLevel="0" collapsed="false">
      <c r="A358" s="10" t="s">
        <v>876</v>
      </c>
      <c r="B358" s="10" t="s">
        <v>877</v>
      </c>
      <c r="C358" s="10" t="s">
        <v>60</v>
      </c>
      <c r="D358" s="10"/>
      <c r="E358" s="19" t="s">
        <v>113</v>
      </c>
      <c r="F358" s="23" t="n">
        <v>1</v>
      </c>
      <c r="G358" s="11" t="n">
        <f aca="false">SUMIFS('Issue Log'!$G$2:$G$501,'Issue Log'!$B$2:$B$501,$A358,'Issue Log'!$J$2:$J$501,"Out")</f>
        <v>0</v>
      </c>
      <c r="H358" s="11" t="n">
        <f aca="false">IF($F358="","",$F358-$G358)</f>
        <v>1</v>
      </c>
      <c r="I358" s="23" t="n">
        <v>2</v>
      </c>
      <c r="J358" s="11" t="str">
        <f aca="false">IF($F358="","Not counted",IF($H358&lt;=0,"Out of stock",IF($H358&lt;$I358,"Low stock","In stock")))</f>
        <v>Low stock</v>
      </c>
      <c r="K358" s="5" t="s">
        <v>175</v>
      </c>
      <c r="M358" s="26" t="n">
        <f aca="false">IF(Search!$C$4="",0,IF(ISNUMBER(SEARCH(Search!$C$4,$A358&amp;" "&amp;$B358&amp;" "&amp;$C358&amp;" "&amp;$E358)),1,0))</f>
        <v>0</v>
      </c>
      <c r="N358" s="0" t="str">
        <f aca="false">IF(M358=1,SUM($M$2:M358),"")</f>
        <v/>
      </c>
      <c r="O358" s="26" t="n">
        <f aca="false">IF(OR($J358="Out of stock",$J358="Low stock",$J358="Not counted"),1,0)</f>
        <v>1</v>
      </c>
      <c r="P358" s="26" t="n">
        <f aca="false">IF(O358=1,SUM($O$2:O358),"")</f>
        <v>134</v>
      </c>
    </row>
    <row r="359" customFormat="false" ht="15" hidden="false" customHeight="false" outlineLevel="0" collapsed="false">
      <c r="A359" s="10" t="s">
        <v>878</v>
      </c>
      <c r="B359" s="10" t="s">
        <v>879</v>
      </c>
      <c r="C359" s="10" t="s">
        <v>69</v>
      </c>
      <c r="D359" s="10"/>
      <c r="E359" s="19" t="s">
        <v>113</v>
      </c>
      <c r="F359" s="23" t="n">
        <v>2</v>
      </c>
      <c r="G359" s="11" t="n">
        <f aca="false">SUMIFS('Issue Log'!$G$2:$G$501,'Issue Log'!$B$2:$B$501,$A359,'Issue Log'!$J$2:$J$501,"Out")</f>
        <v>0</v>
      </c>
      <c r="H359" s="11" t="n">
        <f aca="false">IF($F359="","",$F359-$G359)</f>
        <v>2</v>
      </c>
      <c r="I359" s="23" t="n">
        <v>2</v>
      </c>
      <c r="J359" s="11" t="str">
        <f aca="false">IF($F359="","Not counted",IF($H359&lt;=0,"Out of stock",IF($H359&lt;$I359,"Low stock","In stock")))</f>
        <v>In stock</v>
      </c>
      <c r="K359" s="5" t="s">
        <v>175</v>
      </c>
      <c r="M359" s="26" t="n">
        <f aca="false">IF(Search!$C$4="",0,IF(ISNUMBER(SEARCH(Search!$C$4,$A359&amp;" "&amp;$B359&amp;" "&amp;$C359&amp;" "&amp;$E359)),1,0))</f>
        <v>0</v>
      </c>
      <c r="N359" s="0" t="str">
        <f aca="false">IF(M359=1,SUM($M$2:M359),"")</f>
        <v/>
      </c>
      <c r="O359" s="26" t="n">
        <f aca="false">IF(OR($J359="Out of stock",$J359="Low stock",$J359="Not counted"),1,0)</f>
        <v>0</v>
      </c>
      <c r="P359" s="0" t="str">
        <f aca="false">IF(O359=1,SUM($O$2:O359),"")</f>
        <v/>
      </c>
    </row>
    <row r="360" customFormat="false" ht="15" hidden="false" customHeight="false" outlineLevel="0" collapsed="false">
      <c r="A360" s="10" t="s">
        <v>880</v>
      </c>
      <c r="B360" s="10" t="s">
        <v>881</v>
      </c>
      <c r="C360" s="10" t="s">
        <v>69</v>
      </c>
      <c r="D360" s="10"/>
      <c r="E360" s="19" t="s">
        <v>113</v>
      </c>
      <c r="F360" s="23" t="n">
        <v>1</v>
      </c>
      <c r="G360" s="11" t="n">
        <f aca="false">SUMIFS('Issue Log'!$G$2:$G$501,'Issue Log'!$B$2:$B$501,$A360,'Issue Log'!$J$2:$J$501,"Out")</f>
        <v>0</v>
      </c>
      <c r="H360" s="11" t="n">
        <f aca="false">IF($F360="","",$F360-$G360)</f>
        <v>1</v>
      </c>
      <c r="I360" s="23" t="n">
        <v>2</v>
      </c>
      <c r="J360" s="11" t="str">
        <f aca="false">IF($F360="","Not counted",IF($H360&lt;=0,"Out of stock",IF($H360&lt;$I360,"Low stock","In stock")))</f>
        <v>Low stock</v>
      </c>
      <c r="K360" s="5" t="s">
        <v>175</v>
      </c>
      <c r="M360" s="26" t="n">
        <f aca="false">IF(Search!$C$4="",0,IF(ISNUMBER(SEARCH(Search!$C$4,$A360&amp;" "&amp;$B360&amp;" "&amp;$C360&amp;" "&amp;$E360)),1,0))</f>
        <v>0</v>
      </c>
      <c r="N360" s="0" t="str">
        <f aca="false">IF(M360=1,SUM($M$2:M360),"")</f>
        <v/>
      </c>
      <c r="O360" s="26" t="n">
        <f aca="false">IF(OR($J360="Out of stock",$J360="Low stock",$J360="Not counted"),1,0)</f>
        <v>1</v>
      </c>
      <c r="P360" s="26" t="n">
        <f aca="false">IF(O360=1,SUM($O$2:O360),"")</f>
        <v>135</v>
      </c>
    </row>
    <row r="361" customFormat="false" ht="15" hidden="false" customHeight="false" outlineLevel="0" collapsed="false">
      <c r="A361" s="10" t="s">
        <v>882</v>
      </c>
      <c r="B361" s="10" t="s">
        <v>883</v>
      </c>
      <c r="C361" s="10" t="s">
        <v>69</v>
      </c>
      <c r="D361" s="10"/>
      <c r="E361" s="19" t="s">
        <v>114</v>
      </c>
      <c r="F361" s="23" t="n">
        <v>1</v>
      </c>
      <c r="G361" s="11" t="n">
        <f aca="false">SUMIFS('Issue Log'!$G$2:$G$501,'Issue Log'!$B$2:$B$501,$A361,'Issue Log'!$J$2:$J$501,"Out")</f>
        <v>0</v>
      </c>
      <c r="H361" s="11" t="n">
        <f aca="false">IF($F361="","",$F361-$G361)</f>
        <v>1</v>
      </c>
      <c r="I361" s="23" t="n">
        <v>2</v>
      </c>
      <c r="J361" s="11" t="str">
        <f aca="false">IF($F361="","Not counted",IF($H361&lt;=0,"Out of stock",IF($H361&lt;$I361,"Low stock","In stock")))</f>
        <v>Low stock</v>
      </c>
      <c r="K361" s="5" t="s">
        <v>175</v>
      </c>
      <c r="M361" s="26" t="n">
        <f aca="false">IF(Search!$C$4="",0,IF(ISNUMBER(SEARCH(Search!$C$4,$A361&amp;" "&amp;$B361&amp;" "&amp;$C361&amp;" "&amp;$E361)),1,0))</f>
        <v>0</v>
      </c>
      <c r="N361" s="0" t="str">
        <f aca="false">IF(M361=1,SUM($M$2:M361),"")</f>
        <v/>
      </c>
      <c r="O361" s="26" t="n">
        <f aca="false">IF(OR($J361="Out of stock",$J361="Low stock",$J361="Not counted"),1,0)</f>
        <v>1</v>
      </c>
      <c r="P361" s="26" t="n">
        <f aca="false">IF(O361=1,SUM($O$2:O361),"")</f>
        <v>136</v>
      </c>
    </row>
    <row r="362" customFormat="false" ht="15" hidden="false" customHeight="false" outlineLevel="0" collapsed="false">
      <c r="A362" s="10" t="s">
        <v>884</v>
      </c>
      <c r="B362" s="10" t="s">
        <v>885</v>
      </c>
      <c r="C362" s="10" t="s">
        <v>60</v>
      </c>
      <c r="D362" s="10"/>
      <c r="E362" s="19" t="s">
        <v>114</v>
      </c>
      <c r="F362" s="23" t="n">
        <v>1</v>
      </c>
      <c r="G362" s="11" t="n">
        <f aca="false">SUMIFS('Issue Log'!$G$2:$G$501,'Issue Log'!$B$2:$B$501,$A362,'Issue Log'!$J$2:$J$501,"Out")</f>
        <v>0</v>
      </c>
      <c r="H362" s="11" t="n">
        <f aca="false">IF($F362="","",$F362-$G362)</f>
        <v>1</v>
      </c>
      <c r="I362" s="23" t="n">
        <v>2</v>
      </c>
      <c r="J362" s="11" t="str">
        <f aca="false">IF($F362="","Not counted",IF($H362&lt;=0,"Out of stock",IF($H362&lt;$I362,"Low stock","In stock")))</f>
        <v>Low stock</v>
      </c>
      <c r="K362" s="5" t="s">
        <v>175</v>
      </c>
      <c r="M362" s="26" t="n">
        <f aca="false">IF(Search!$C$4="",0,IF(ISNUMBER(SEARCH(Search!$C$4,$A362&amp;" "&amp;$B362&amp;" "&amp;$C362&amp;" "&amp;$E362)),1,0))</f>
        <v>0</v>
      </c>
      <c r="N362" s="0" t="str">
        <f aca="false">IF(M362=1,SUM($M$2:M362),"")</f>
        <v/>
      </c>
      <c r="O362" s="26" t="n">
        <f aca="false">IF(OR($J362="Out of stock",$J362="Low stock",$J362="Not counted"),1,0)</f>
        <v>1</v>
      </c>
      <c r="P362" s="26" t="n">
        <f aca="false">IF(O362=1,SUM($O$2:O362),"")</f>
        <v>137</v>
      </c>
    </row>
    <row r="363" customFormat="false" ht="15" hidden="false" customHeight="false" outlineLevel="0" collapsed="false">
      <c r="A363" s="10" t="s">
        <v>886</v>
      </c>
      <c r="B363" s="10" t="s">
        <v>887</v>
      </c>
      <c r="C363" s="10" t="s">
        <v>60</v>
      </c>
      <c r="D363" s="10"/>
      <c r="E363" s="19" t="s">
        <v>114</v>
      </c>
      <c r="F363" s="23" t="n">
        <v>1</v>
      </c>
      <c r="G363" s="11" t="n">
        <f aca="false">SUMIFS('Issue Log'!$G$2:$G$501,'Issue Log'!$B$2:$B$501,$A363,'Issue Log'!$J$2:$J$501,"Out")</f>
        <v>0</v>
      </c>
      <c r="H363" s="11" t="n">
        <f aca="false">IF($F363="","",$F363-$G363)</f>
        <v>1</v>
      </c>
      <c r="I363" s="23" t="n">
        <v>2</v>
      </c>
      <c r="J363" s="11" t="str">
        <f aca="false">IF($F363="","Not counted",IF($H363&lt;=0,"Out of stock",IF($H363&lt;$I363,"Low stock","In stock")))</f>
        <v>Low stock</v>
      </c>
      <c r="K363" s="5" t="s">
        <v>175</v>
      </c>
      <c r="M363" s="26" t="n">
        <f aca="false">IF(Search!$C$4="",0,IF(ISNUMBER(SEARCH(Search!$C$4,$A363&amp;" "&amp;$B363&amp;" "&amp;$C363&amp;" "&amp;$E363)),1,0))</f>
        <v>0</v>
      </c>
      <c r="N363" s="0" t="str">
        <f aca="false">IF(M363=1,SUM($M$2:M363),"")</f>
        <v/>
      </c>
      <c r="O363" s="26" t="n">
        <f aca="false">IF(OR($J363="Out of stock",$J363="Low stock",$J363="Not counted"),1,0)</f>
        <v>1</v>
      </c>
      <c r="P363" s="26" t="n">
        <f aca="false">IF(O363=1,SUM($O$2:O363),"")</f>
        <v>138</v>
      </c>
    </row>
    <row r="364" customFormat="false" ht="15" hidden="false" customHeight="false" outlineLevel="0" collapsed="false">
      <c r="A364" s="10" t="s">
        <v>888</v>
      </c>
      <c r="B364" s="10" t="s">
        <v>889</v>
      </c>
      <c r="C364" s="10" t="s">
        <v>60</v>
      </c>
      <c r="D364" s="10"/>
      <c r="E364" s="19" t="s">
        <v>114</v>
      </c>
      <c r="F364" s="23" t="n">
        <v>1</v>
      </c>
      <c r="G364" s="11" t="n">
        <f aca="false">SUMIFS('Issue Log'!$G$2:$G$501,'Issue Log'!$B$2:$B$501,$A364,'Issue Log'!$J$2:$J$501,"Out")</f>
        <v>0</v>
      </c>
      <c r="H364" s="11" t="n">
        <f aca="false">IF($F364="","",$F364-$G364)</f>
        <v>1</v>
      </c>
      <c r="I364" s="23" t="n">
        <v>2</v>
      </c>
      <c r="J364" s="11" t="str">
        <f aca="false">IF($F364="","Not counted",IF($H364&lt;=0,"Out of stock",IF($H364&lt;$I364,"Low stock","In stock")))</f>
        <v>Low stock</v>
      </c>
      <c r="K364" s="5" t="s">
        <v>175</v>
      </c>
      <c r="M364" s="26" t="n">
        <f aca="false">IF(Search!$C$4="",0,IF(ISNUMBER(SEARCH(Search!$C$4,$A364&amp;" "&amp;$B364&amp;" "&amp;$C364&amp;" "&amp;$E364)),1,0))</f>
        <v>0</v>
      </c>
      <c r="N364" s="0" t="str">
        <f aca="false">IF(M364=1,SUM($M$2:M364),"")</f>
        <v/>
      </c>
      <c r="O364" s="26" t="n">
        <f aca="false">IF(OR($J364="Out of stock",$J364="Low stock",$J364="Not counted"),1,0)</f>
        <v>1</v>
      </c>
      <c r="P364" s="26" t="n">
        <f aca="false">IF(O364=1,SUM($O$2:O364),"")</f>
        <v>139</v>
      </c>
    </row>
    <row r="365" customFormat="false" ht="15" hidden="false" customHeight="false" outlineLevel="0" collapsed="false">
      <c r="A365" s="10" t="s">
        <v>890</v>
      </c>
      <c r="B365" s="10" t="s">
        <v>891</v>
      </c>
      <c r="C365" s="10" t="s">
        <v>60</v>
      </c>
      <c r="D365" s="10"/>
      <c r="E365" s="19" t="s">
        <v>114</v>
      </c>
      <c r="F365" s="23" t="n">
        <v>1</v>
      </c>
      <c r="G365" s="11" t="n">
        <f aca="false">SUMIFS('Issue Log'!$G$2:$G$501,'Issue Log'!$B$2:$B$501,$A365,'Issue Log'!$J$2:$J$501,"Out")</f>
        <v>0</v>
      </c>
      <c r="H365" s="11" t="n">
        <f aca="false">IF($F365="","",$F365-$G365)</f>
        <v>1</v>
      </c>
      <c r="I365" s="23" t="n">
        <v>2</v>
      </c>
      <c r="J365" s="11" t="str">
        <f aca="false">IF($F365="","Not counted",IF($H365&lt;=0,"Out of stock",IF($H365&lt;$I365,"Low stock","In stock")))</f>
        <v>Low stock</v>
      </c>
      <c r="K365" s="5" t="s">
        <v>175</v>
      </c>
      <c r="M365" s="26" t="n">
        <f aca="false">IF(Search!$C$4="",0,IF(ISNUMBER(SEARCH(Search!$C$4,$A365&amp;" "&amp;$B365&amp;" "&amp;$C365&amp;" "&amp;$E365)),1,0))</f>
        <v>0</v>
      </c>
      <c r="N365" s="0" t="str">
        <f aca="false">IF(M365=1,SUM($M$2:M365),"")</f>
        <v/>
      </c>
      <c r="O365" s="26" t="n">
        <f aca="false">IF(OR($J365="Out of stock",$J365="Low stock",$J365="Not counted"),1,0)</f>
        <v>1</v>
      </c>
      <c r="P365" s="26" t="n">
        <f aca="false">IF(O365=1,SUM($O$2:O365),"")</f>
        <v>140</v>
      </c>
    </row>
    <row r="366" customFormat="false" ht="15" hidden="false" customHeight="false" outlineLevel="0" collapsed="false">
      <c r="A366" s="10" t="s">
        <v>892</v>
      </c>
      <c r="B366" s="10" t="s">
        <v>893</v>
      </c>
      <c r="C366" s="10" t="s">
        <v>60</v>
      </c>
      <c r="D366" s="10"/>
      <c r="E366" s="19" t="s">
        <v>114</v>
      </c>
      <c r="F366" s="23" t="n">
        <v>1</v>
      </c>
      <c r="G366" s="11" t="n">
        <f aca="false">SUMIFS('Issue Log'!$G$2:$G$501,'Issue Log'!$B$2:$B$501,$A366,'Issue Log'!$J$2:$J$501,"Out")</f>
        <v>0</v>
      </c>
      <c r="H366" s="11" t="n">
        <f aca="false">IF($F366="","",$F366-$G366)</f>
        <v>1</v>
      </c>
      <c r="I366" s="23" t="n">
        <v>2</v>
      </c>
      <c r="J366" s="11" t="str">
        <f aca="false">IF($F366="","Not counted",IF($H366&lt;=0,"Out of stock",IF($H366&lt;$I366,"Low stock","In stock")))</f>
        <v>Low stock</v>
      </c>
      <c r="K366" s="5" t="s">
        <v>175</v>
      </c>
      <c r="M366" s="26" t="n">
        <f aca="false">IF(Search!$C$4="",0,IF(ISNUMBER(SEARCH(Search!$C$4,$A366&amp;" "&amp;$B366&amp;" "&amp;$C366&amp;" "&amp;$E366)),1,0))</f>
        <v>0</v>
      </c>
      <c r="N366" s="0" t="str">
        <f aca="false">IF(M366=1,SUM($M$2:M366),"")</f>
        <v/>
      </c>
      <c r="O366" s="26" t="n">
        <f aca="false">IF(OR($J366="Out of stock",$J366="Low stock",$J366="Not counted"),1,0)</f>
        <v>1</v>
      </c>
      <c r="P366" s="26" t="n">
        <f aca="false">IF(O366=1,SUM($O$2:O366),"")</f>
        <v>141</v>
      </c>
    </row>
    <row r="367" customFormat="false" ht="15" hidden="false" customHeight="false" outlineLevel="0" collapsed="false">
      <c r="A367" s="10" t="s">
        <v>894</v>
      </c>
      <c r="B367" s="10" t="s">
        <v>895</v>
      </c>
      <c r="C367" s="10" t="s">
        <v>69</v>
      </c>
      <c r="D367" s="10"/>
      <c r="E367" s="19" t="s">
        <v>114</v>
      </c>
      <c r="F367" s="23" t="n">
        <v>1</v>
      </c>
      <c r="G367" s="11" t="n">
        <f aca="false">SUMIFS('Issue Log'!$G$2:$G$501,'Issue Log'!$B$2:$B$501,$A367,'Issue Log'!$J$2:$J$501,"Out")</f>
        <v>0</v>
      </c>
      <c r="H367" s="11" t="n">
        <f aca="false">IF($F367="","",$F367-$G367)</f>
        <v>1</v>
      </c>
      <c r="I367" s="23" t="n">
        <v>2</v>
      </c>
      <c r="J367" s="11" t="str">
        <f aca="false">IF($F367="","Not counted",IF($H367&lt;=0,"Out of stock",IF($H367&lt;$I367,"Low stock","In stock")))</f>
        <v>Low stock</v>
      </c>
      <c r="K367" s="5" t="s">
        <v>175</v>
      </c>
      <c r="M367" s="26" t="n">
        <f aca="false">IF(Search!$C$4="",0,IF(ISNUMBER(SEARCH(Search!$C$4,$A367&amp;" "&amp;$B367&amp;" "&amp;$C367&amp;" "&amp;$E367)),1,0))</f>
        <v>0</v>
      </c>
      <c r="N367" s="0" t="str">
        <f aca="false">IF(M367=1,SUM($M$2:M367),"")</f>
        <v/>
      </c>
      <c r="O367" s="26" t="n">
        <f aca="false">IF(OR($J367="Out of stock",$J367="Low stock",$J367="Not counted"),1,0)</f>
        <v>1</v>
      </c>
      <c r="P367" s="26" t="n">
        <f aca="false">IF(O367=1,SUM($O$2:O367),"")</f>
        <v>142</v>
      </c>
    </row>
    <row r="368" customFormat="false" ht="15" hidden="false" customHeight="false" outlineLevel="0" collapsed="false">
      <c r="A368" s="10" t="s">
        <v>896</v>
      </c>
      <c r="B368" s="10" t="s">
        <v>897</v>
      </c>
      <c r="C368" s="10" t="s">
        <v>69</v>
      </c>
      <c r="D368" s="10"/>
      <c r="E368" s="19" t="s">
        <v>114</v>
      </c>
      <c r="F368" s="23" t="n">
        <v>1</v>
      </c>
      <c r="G368" s="11" t="n">
        <f aca="false">SUMIFS('Issue Log'!$G$2:$G$501,'Issue Log'!$B$2:$B$501,$A368,'Issue Log'!$J$2:$J$501,"Out")</f>
        <v>0</v>
      </c>
      <c r="H368" s="11" t="n">
        <f aca="false">IF($F368="","",$F368-$G368)</f>
        <v>1</v>
      </c>
      <c r="I368" s="23" t="n">
        <v>2</v>
      </c>
      <c r="J368" s="11" t="str">
        <f aca="false">IF($F368="","Not counted",IF($H368&lt;=0,"Out of stock",IF($H368&lt;$I368,"Low stock","In stock")))</f>
        <v>Low stock</v>
      </c>
      <c r="K368" s="5" t="s">
        <v>175</v>
      </c>
      <c r="M368" s="26" t="n">
        <f aca="false">IF(Search!$C$4="",0,IF(ISNUMBER(SEARCH(Search!$C$4,$A368&amp;" "&amp;$B368&amp;" "&amp;$C368&amp;" "&amp;$E368)),1,0))</f>
        <v>0</v>
      </c>
      <c r="N368" s="0" t="str">
        <f aca="false">IF(M368=1,SUM($M$2:M368),"")</f>
        <v/>
      </c>
      <c r="O368" s="26" t="n">
        <f aca="false">IF(OR($J368="Out of stock",$J368="Low stock",$J368="Not counted"),1,0)</f>
        <v>1</v>
      </c>
      <c r="P368" s="26" t="n">
        <f aca="false">IF(O368=1,SUM($O$2:O368),"")</f>
        <v>143</v>
      </c>
    </row>
    <row r="369" customFormat="false" ht="15" hidden="false" customHeight="false" outlineLevel="0" collapsed="false">
      <c r="A369" s="10" t="s">
        <v>898</v>
      </c>
      <c r="B369" s="10" t="s">
        <v>899</v>
      </c>
      <c r="C369" s="10" t="s">
        <v>60</v>
      </c>
      <c r="D369" s="10"/>
      <c r="E369" s="19" t="s">
        <v>114</v>
      </c>
      <c r="F369" s="23" t="n">
        <v>1</v>
      </c>
      <c r="G369" s="11" t="n">
        <f aca="false">SUMIFS('Issue Log'!$G$2:$G$501,'Issue Log'!$B$2:$B$501,$A369,'Issue Log'!$J$2:$J$501,"Out")</f>
        <v>0</v>
      </c>
      <c r="H369" s="11" t="n">
        <f aca="false">IF($F369="","",$F369-$G369)</f>
        <v>1</v>
      </c>
      <c r="I369" s="23" t="n">
        <v>2</v>
      </c>
      <c r="J369" s="11" t="str">
        <f aca="false">IF($F369="","Not counted",IF($H369&lt;=0,"Out of stock",IF($H369&lt;$I369,"Low stock","In stock")))</f>
        <v>Low stock</v>
      </c>
      <c r="K369" s="5" t="s">
        <v>175</v>
      </c>
      <c r="M369" s="26" t="n">
        <f aca="false">IF(Search!$C$4="",0,IF(ISNUMBER(SEARCH(Search!$C$4,$A369&amp;" "&amp;$B369&amp;" "&amp;$C369&amp;" "&amp;$E369)),1,0))</f>
        <v>0</v>
      </c>
      <c r="N369" s="0" t="str">
        <f aca="false">IF(M369=1,SUM($M$2:M369),"")</f>
        <v/>
      </c>
      <c r="O369" s="26" t="n">
        <f aca="false">IF(OR($J369="Out of stock",$J369="Low stock",$J369="Not counted"),1,0)</f>
        <v>1</v>
      </c>
      <c r="P369" s="26" t="n">
        <f aca="false">IF(O369=1,SUM($O$2:O369),"")</f>
        <v>144</v>
      </c>
    </row>
    <row r="370" customFormat="false" ht="15" hidden="false" customHeight="false" outlineLevel="0" collapsed="false">
      <c r="A370" s="10" t="s">
        <v>900</v>
      </c>
      <c r="B370" s="10" t="s">
        <v>901</v>
      </c>
      <c r="C370" s="10" t="s">
        <v>60</v>
      </c>
      <c r="D370" s="10"/>
      <c r="E370" s="19" t="s">
        <v>114</v>
      </c>
      <c r="F370" s="23" t="n">
        <v>1</v>
      </c>
      <c r="G370" s="11" t="n">
        <f aca="false">SUMIFS('Issue Log'!$G$2:$G$501,'Issue Log'!$B$2:$B$501,$A370,'Issue Log'!$J$2:$J$501,"Out")</f>
        <v>0</v>
      </c>
      <c r="H370" s="11" t="n">
        <f aca="false">IF($F370="","",$F370-$G370)</f>
        <v>1</v>
      </c>
      <c r="I370" s="23" t="n">
        <v>2</v>
      </c>
      <c r="J370" s="11" t="str">
        <f aca="false">IF($F370="","Not counted",IF($H370&lt;=0,"Out of stock",IF($H370&lt;$I370,"Low stock","In stock")))</f>
        <v>Low stock</v>
      </c>
      <c r="K370" s="5" t="s">
        <v>175</v>
      </c>
      <c r="M370" s="26" t="n">
        <f aca="false">IF(Search!$C$4="",0,IF(ISNUMBER(SEARCH(Search!$C$4,$A370&amp;" "&amp;$B370&amp;" "&amp;$C370&amp;" "&amp;$E370)),1,0))</f>
        <v>0</v>
      </c>
      <c r="N370" s="0" t="str">
        <f aca="false">IF(M370=1,SUM($M$2:M370),"")</f>
        <v/>
      </c>
      <c r="O370" s="26" t="n">
        <f aca="false">IF(OR($J370="Out of stock",$J370="Low stock",$J370="Not counted"),1,0)</f>
        <v>1</v>
      </c>
      <c r="P370" s="26" t="n">
        <f aca="false">IF(O370=1,SUM($O$2:O370),"")</f>
        <v>145</v>
      </c>
    </row>
    <row r="371" customFormat="false" ht="15" hidden="false" customHeight="false" outlineLevel="0" collapsed="false">
      <c r="A371" s="10" t="s">
        <v>902</v>
      </c>
      <c r="B371" s="10" t="s">
        <v>903</v>
      </c>
      <c r="C371" s="10" t="s">
        <v>60</v>
      </c>
      <c r="D371" s="10"/>
      <c r="E371" s="19" t="s">
        <v>114</v>
      </c>
      <c r="F371" s="23" t="n">
        <v>2</v>
      </c>
      <c r="G371" s="11" t="n">
        <f aca="false">SUMIFS('Issue Log'!$G$2:$G$501,'Issue Log'!$B$2:$B$501,$A371,'Issue Log'!$J$2:$J$501,"Out")</f>
        <v>0</v>
      </c>
      <c r="H371" s="11" t="n">
        <f aca="false">IF($F371="","",$F371-$G371)</f>
        <v>2</v>
      </c>
      <c r="I371" s="23" t="n">
        <v>2</v>
      </c>
      <c r="J371" s="11" t="str">
        <f aca="false">IF($F371="","Not counted",IF($H371&lt;=0,"Out of stock",IF($H371&lt;$I371,"Low stock","In stock")))</f>
        <v>In stock</v>
      </c>
      <c r="K371" s="5" t="s">
        <v>175</v>
      </c>
      <c r="M371" s="26" t="n">
        <f aca="false">IF(Search!$C$4="",0,IF(ISNUMBER(SEARCH(Search!$C$4,$A371&amp;" "&amp;$B371&amp;" "&amp;$C371&amp;" "&amp;$E371)),1,0))</f>
        <v>0</v>
      </c>
      <c r="N371" s="0" t="str">
        <f aca="false">IF(M371=1,SUM($M$2:M371),"")</f>
        <v/>
      </c>
      <c r="O371" s="26" t="n">
        <f aca="false">IF(OR($J371="Out of stock",$J371="Low stock",$J371="Not counted"),1,0)</f>
        <v>0</v>
      </c>
      <c r="P371" s="0" t="str">
        <f aca="false">IF(O371=1,SUM($O$2:O371),"")</f>
        <v/>
      </c>
    </row>
    <row r="372" customFormat="false" ht="15" hidden="false" customHeight="false" outlineLevel="0" collapsed="false">
      <c r="A372" s="10" t="s">
        <v>904</v>
      </c>
      <c r="B372" s="10" t="s">
        <v>905</v>
      </c>
      <c r="C372" s="10" t="s">
        <v>69</v>
      </c>
      <c r="D372" s="10"/>
      <c r="E372" s="19" t="s">
        <v>114</v>
      </c>
      <c r="F372" s="23" t="n">
        <v>1</v>
      </c>
      <c r="G372" s="11" t="n">
        <f aca="false">SUMIFS('Issue Log'!$G$2:$G$501,'Issue Log'!$B$2:$B$501,$A372,'Issue Log'!$J$2:$J$501,"Out")</f>
        <v>0</v>
      </c>
      <c r="H372" s="11" t="n">
        <f aca="false">IF($F372="","",$F372-$G372)</f>
        <v>1</v>
      </c>
      <c r="I372" s="23" t="n">
        <v>2</v>
      </c>
      <c r="J372" s="11" t="str">
        <f aca="false">IF($F372="","Not counted",IF($H372&lt;=0,"Out of stock",IF($H372&lt;$I372,"Low stock","In stock")))</f>
        <v>Low stock</v>
      </c>
      <c r="K372" s="5" t="s">
        <v>175</v>
      </c>
      <c r="M372" s="26" t="n">
        <f aca="false">IF(Search!$C$4="",0,IF(ISNUMBER(SEARCH(Search!$C$4,$A372&amp;" "&amp;$B372&amp;" "&amp;$C372&amp;" "&amp;$E372)),1,0))</f>
        <v>0</v>
      </c>
      <c r="N372" s="0" t="str">
        <f aca="false">IF(M372=1,SUM($M$2:M372),"")</f>
        <v/>
      </c>
      <c r="O372" s="26" t="n">
        <f aca="false">IF(OR($J372="Out of stock",$J372="Low stock",$J372="Not counted"),1,0)</f>
        <v>1</v>
      </c>
      <c r="P372" s="26" t="n">
        <f aca="false">IF(O372=1,SUM($O$2:O372),"")</f>
        <v>146</v>
      </c>
    </row>
    <row r="373" customFormat="false" ht="15" hidden="false" customHeight="false" outlineLevel="0" collapsed="false">
      <c r="A373" s="10" t="s">
        <v>906</v>
      </c>
      <c r="B373" s="10" t="s">
        <v>907</v>
      </c>
      <c r="C373" s="10" t="s">
        <v>58</v>
      </c>
      <c r="D373" s="10"/>
      <c r="E373" s="19" t="s">
        <v>114</v>
      </c>
      <c r="F373" s="23" t="n">
        <v>1</v>
      </c>
      <c r="G373" s="11" t="n">
        <f aca="false">SUMIFS('Issue Log'!$G$2:$G$501,'Issue Log'!$B$2:$B$501,$A373,'Issue Log'!$J$2:$J$501,"Out")</f>
        <v>0</v>
      </c>
      <c r="H373" s="11" t="n">
        <f aca="false">IF($F373="","",$F373-$G373)</f>
        <v>1</v>
      </c>
      <c r="I373" s="23" t="n">
        <v>2</v>
      </c>
      <c r="J373" s="11" t="str">
        <f aca="false">IF($F373="","Not counted",IF($H373&lt;=0,"Out of stock",IF($H373&lt;$I373,"Low stock","In stock")))</f>
        <v>Low stock</v>
      </c>
      <c r="K373" s="5" t="s">
        <v>175</v>
      </c>
      <c r="M373" s="26" t="n">
        <f aca="false">IF(Search!$C$4="",0,IF(ISNUMBER(SEARCH(Search!$C$4,$A373&amp;" "&amp;$B373&amp;" "&amp;$C373&amp;" "&amp;$E373)),1,0))</f>
        <v>0</v>
      </c>
      <c r="N373" s="0" t="str">
        <f aca="false">IF(M373=1,SUM($M$2:M373),"")</f>
        <v/>
      </c>
      <c r="O373" s="26" t="n">
        <f aca="false">IF(OR($J373="Out of stock",$J373="Low stock",$J373="Not counted"),1,0)</f>
        <v>1</v>
      </c>
      <c r="P373" s="26" t="n">
        <f aca="false">IF(O373=1,SUM($O$2:O373),"")</f>
        <v>147</v>
      </c>
    </row>
    <row r="374" customFormat="false" ht="15" hidden="false" customHeight="false" outlineLevel="0" collapsed="false">
      <c r="A374" s="10" t="s">
        <v>908</v>
      </c>
      <c r="B374" s="10" t="s">
        <v>909</v>
      </c>
      <c r="C374" s="10" t="s">
        <v>57</v>
      </c>
      <c r="D374" s="10"/>
      <c r="E374" s="19" t="s">
        <v>163</v>
      </c>
      <c r="F374" s="23" t="n">
        <v>0</v>
      </c>
      <c r="G374" s="11" t="n">
        <f aca="false">SUMIFS('Issue Log'!$G$2:$G$501,'Issue Log'!$B$2:$B$501,$A374,'Issue Log'!$J$2:$J$501,"Out")</f>
        <v>0</v>
      </c>
      <c r="H374" s="11" t="n">
        <f aca="false">IF($F374="","",$F374-$G374)</f>
        <v>0</v>
      </c>
      <c r="I374" s="23" t="n">
        <v>1</v>
      </c>
      <c r="J374" s="11" t="str">
        <f aca="false">IF($F374="","Not counted",IF($H374&lt;=0,"Out of stock",IF($H374&lt;$I374,"Low stock","In stock")))</f>
        <v>Out of stock</v>
      </c>
      <c r="K374" s="5" t="s">
        <v>175</v>
      </c>
      <c r="M374" s="26" t="n">
        <f aca="false">IF(Search!$C$4="",0,IF(ISNUMBER(SEARCH(Search!$C$4,$A374&amp;" "&amp;$B374&amp;" "&amp;$C374&amp;" "&amp;$E374)),1,0))</f>
        <v>0</v>
      </c>
      <c r="N374" s="0" t="str">
        <f aca="false">IF(M374=1,SUM($M$2:M374),"")</f>
        <v/>
      </c>
      <c r="O374" s="26" t="n">
        <f aca="false">IF(OR($J374="Out of stock",$J374="Low stock",$J374="Not counted"),1,0)</f>
        <v>1</v>
      </c>
      <c r="P374" s="26" t="n">
        <f aca="false">IF(O374=1,SUM($O$2:O374),"")</f>
        <v>148</v>
      </c>
    </row>
    <row r="375" customFormat="false" ht="15" hidden="false" customHeight="false" outlineLevel="0" collapsed="false">
      <c r="A375" s="10" t="s">
        <v>910</v>
      </c>
      <c r="B375" s="10" t="s">
        <v>911</v>
      </c>
      <c r="C375" s="10" t="s">
        <v>25</v>
      </c>
      <c r="D375" s="10"/>
      <c r="E375" s="19" t="s">
        <v>162</v>
      </c>
      <c r="F375" s="23" t="n">
        <v>1</v>
      </c>
      <c r="G375" s="11" t="n">
        <f aca="false">SUMIFS('Issue Log'!$G$2:$G$501,'Issue Log'!$B$2:$B$501,$A375,'Issue Log'!$J$2:$J$501,"Out")</f>
        <v>0</v>
      </c>
      <c r="H375" s="11" t="n">
        <f aca="false">IF($F375="","",$F375-$G375)</f>
        <v>1</v>
      </c>
      <c r="I375" s="23" t="n">
        <v>2</v>
      </c>
      <c r="J375" s="11" t="str">
        <f aca="false">IF($F375="","Not counted",IF($H375&lt;=0,"Out of stock",IF($H375&lt;$I375,"Low stock","In stock")))</f>
        <v>Low stock</v>
      </c>
      <c r="K375" s="5" t="s">
        <v>175</v>
      </c>
      <c r="M375" s="26" t="n">
        <f aca="false">IF(Search!$C$4="",0,IF(ISNUMBER(SEARCH(Search!$C$4,$A375&amp;" "&amp;$B375&amp;" "&amp;$C375&amp;" "&amp;$E375)),1,0))</f>
        <v>0</v>
      </c>
      <c r="N375" s="0" t="str">
        <f aca="false">IF(M375=1,SUM($M$2:M375),"")</f>
        <v/>
      </c>
      <c r="O375" s="26" t="n">
        <f aca="false">IF(OR($J375="Out of stock",$J375="Low stock",$J375="Not counted"),1,0)</f>
        <v>1</v>
      </c>
      <c r="P375" s="26" t="n">
        <f aca="false">IF(O375=1,SUM($O$2:O375),"")</f>
        <v>149</v>
      </c>
    </row>
    <row r="376" customFormat="false" ht="15" hidden="false" customHeight="false" outlineLevel="0" collapsed="false">
      <c r="A376" s="10" t="s">
        <v>912</v>
      </c>
      <c r="B376" s="10" t="s">
        <v>913</v>
      </c>
      <c r="C376" s="10" t="s">
        <v>60</v>
      </c>
      <c r="D376" s="10"/>
      <c r="E376" s="19" t="s">
        <v>162</v>
      </c>
      <c r="F376" s="23" t="n">
        <v>1</v>
      </c>
      <c r="G376" s="11" t="n">
        <f aca="false">SUMIFS('Issue Log'!$G$2:$G$501,'Issue Log'!$B$2:$B$501,$A376,'Issue Log'!$J$2:$J$501,"Out")</f>
        <v>0</v>
      </c>
      <c r="H376" s="11" t="n">
        <f aca="false">IF($F376="","",$F376-$G376)</f>
        <v>1</v>
      </c>
      <c r="I376" s="23" t="n">
        <v>2</v>
      </c>
      <c r="J376" s="11" t="str">
        <f aca="false">IF($F376="","Not counted",IF($H376&lt;=0,"Out of stock",IF($H376&lt;$I376,"Low stock","In stock")))</f>
        <v>Low stock</v>
      </c>
      <c r="K376" s="5" t="s">
        <v>175</v>
      </c>
      <c r="M376" s="26" t="n">
        <f aca="false">IF(Search!$C$4="",0,IF(ISNUMBER(SEARCH(Search!$C$4,$A376&amp;" "&amp;$B376&amp;" "&amp;$C376&amp;" "&amp;$E376)),1,0))</f>
        <v>0</v>
      </c>
      <c r="N376" s="0" t="str">
        <f aca="false">IF(M376=1,SUM($M$2:M376),"")</f>
        <v/>
      </c>
      <c r="O376" s="26" t="n">
        <f aca="false">IF(OR($J376="Out of stock",$J376="Low stock",$J376="Not counted"),1,0)</f>
        <v>1</v>
      </c>
      <c r="P376" s="26" t="n">
        <f aca="false">IF(O376=1,SUM($O$2:O376),"")</f>
        <v>150</v>
      </c>
    </row>
    <row r="377" customFormat="false" ht="15" hidden="false" customHeight="false" outlineLevel="0" collapsed="false">
      <c r="A377" s="10" t="s">
        <v>914</v>
      </c>
      <c r="B377" s="10" t="s">
        <v>915</v>
      </c>
      <c r="C377" s="10" t="s">
        <v>59</v>
      </c>
      <c r="D377" s="10"/>
      <c r="E377" s="19" t="s">
        <v>149</v>
      </c>
      <c r="F377" s="23" t="n">
        <v>5</v>
      </c>
      <c r="G377" s="11" t="n">
        <f aca="false">SUMIFS('Issue Log'!$G$2:$G$501,'Issue Log'!$B$2:$B$501,$A377,'Issue Log'!$J$2:$J$501,"Out")</f>
        <v>0</v>
      </c>
      <c r="H377" s="11" t="n">
        <f aca="false">IF($F377="","",$F377-$G377)</f>
        <v>5</v>
      </c>
      <c r="I377" s="23" t="n">
        <v>2</v>
      </c>
      <c r="J377" s="11" t="str">
        <f aca="false">IF($F377="","Not counted",IF($H377&lt;=0,"Out of stock",IF($H377&lt;$I377,"Low stock","In stock")))</f>
        <v>In stock</v>
      </c>
      <c r="K377" s="5" t="s">
        <v>175</v>
      </c>
      <c r="M377" s="26" t="n">
        <f aca="false">IF(Search!$C$4="",0,IF(ISNUMBER(SEARCH(Search!$C$4,$A377&amp;" "&amp;$B377&amp;" "&amp;$C377&amp;" "&amp;$E377)),1,0))</f>
        <v>0</v>
      </c>
      <c r="N377" s="0" t="str">
        <f aca="false">IF(M377=1,SUM($M$2:M377),"")</f>
        <v/>
      </c>
      <c r="O377" s="26" t="n">
        <f aca="false">IF(OR($J377="Out of stock",$J377="Low stock",$J377="Not counted"),1,0)</f>
        <v>0</v>
      </c>
      <c r="P377" s="0" t="str">
        <f aca="false">IF(O377=1,SUM($O$2:O377),"")</f>
        <v/>
      </c>
    </row>
    <row r="378" customFormat="false" ht="15" hidden="false" customHeight="false" outlineLevel="0" collapsed="false">
      <c r="A378" s="10" t="s">
        <v>916</v>
      </c>
      <c r="B378" s="10" t="s">
        <v>917</v>
      </c>
      <c r="C378" s="10" t="s">
        <v>59</v>
      </c>
      <c r="D378" s="10"/>
      <c r="E378" s="19" t="s">
        <v>162</v>
      </c>
      <c r="F378" s="23" t="n">
        <v>1</v>
      </c>
      <c r="G378" s="11" t="n">
        <f aca="false">SUMIFS('Issue Log'!$G$2:$G$501,'Issue Log'!$B$2:$B$501,$A378,'Issue Log'!$J$2:$J$501,"Out")</f>
        <v>0</v>
      </c>
      <c r="H378" s="11" t="n">
        <f aca="false">IF($F378="","",$F378-$G378)</f>
        <v>1</v>
      </c>
      <c r="I378" s="23" t="n">
        <v>2</v>
      </c>
      <c r="J378" s="11" t="str">
        <f aca="false">IF($F378="","Not counted",IF($H378&lt;=0,"Out of stock",IF($H378&lt;$I378,"Low stock","In stock")))</f>
        <v>Low stock</v>
      </c>
      <c r="K378" s="5" t="s">
        <v>175</v>
      </c>
      <c r="M378" s="26" t="n">
        <f aca="false">IF(Search!$C$4="",0,IF(ISNUMBER(SEARCH(Search!$C$4,$A378&amp;" "&amp;$B378&amp;" "&amp;$C378&amp;" "&amp;$E378)),1,0))</f>
        <v>0</v>
      </c>
      <c r="N378" s="0" t="str">
        <f aca="false">IF(M378=1,SUM($M$2:M378),"")</f>
        <v/>
      </c>
      <c r="O378" s="26" t="n">
        <f aca="false">IF(OR($J378="Out of stock",$J378="Low stock",$J378="Not counted"),1,0)</f>
        <v>1</v>
      </c>
      <c r="P378" s="26" t="n">
        <f aca="false">IF(O378=1,SUM($O$2:O378),"")</f>
        <v>151</v>
      </c>
    </row>
    <row r="379" customFormat="false" ht="15" hidden="false" customHeight="false" outlineLevel="0" collapsed="false">
      <c r="A379" s="10" t="s">
        <v>918</v>
      </c>
      <c r="B379" s="10" t="s">
        <v>919</v>
      </c>
      <c r="C379" s="10" t="s">
        <v>59</v>
      </c>
      <c r="D379" s="10"/>
      <c r="E379" s="19" t="s">
        <v>131</v>
      </c>
      <c r="F379" s="23" t="n">
        <v>1</v>
      </c>
      <c r="G379" s="11" t="n">
        <f aca="false">SUMIFS('Issue Log'!$G$2:$G$501,'Issue Log'!$B$2:$B$501,$A379,'Issue Log'!$J$2:$J$501,"Out")</f>
        <v>0</v>
      </c>
      <c r="H379" s="11" t="n">
        <f aca="false">IF($F379="","",$F379-$G379)</f>
        <v>1</v>
      </c>
      <c r="I379" s="23" t="n">
        <v>2</v>
      </c>
      <c r="J379" s="11" t="str">
        <f aca="false">IF($F379="","Not counted",IF($H379&lt;=0,"Out of stock",IF($H379&lt;$I379,"Low stock","In stock")))</f>
        <v>Low stock</v>
      </c>
      <c r="K379" s="5" t="s">
        <v>175</v>
      </c>
      <c r="M379" s="26" t="n">
        <f aca="false">IF(Search!$C$4="",0,IF(ISNUMBER(SEARCH(Search!$C$4,$A379&amp;" "&amp;$B379&amp;" "&amp;$C379&amp;" "&amp;$E379)),1,0))</f>
        <v>0</v>
      </c>
      <c r="N379" s="0" t="str">
        <f aca="false">IF(M379=1,SUM($M$2:M379),"")</f>
        <v/>
      </c>
      <c r="O379" s="26" t="n">
        <f aca="false">IF(OR($J379="Out of stock",$J379="Low stock",$J379="Not counted"),1,0)</f>
        <v>1</v>
      </c>
      <c r="P379" s="26" t="n">
        <f aca="false">IF(O379=1,SUM($O$2:O379),"")</f>
        <v>152</v>
      </c>
    </row>
    <row r="380" customFormat="false" ht="15" hidden="false" customHeight="false" outlineLevel="0" collapsed="false">
      <c r="A380" s="10" t="s">
        <v>920</v>
      </c>
      <c r="B380" s="10" t="s">
        <v>921</v>
      </c>
      <c r="C380" s="10" t="s">
        <v>37</v>
      </c>
      <c r="D380" s="10"/>
      <c r="E380" s="19" t="s">
        <v>163</v>
      </c>
      <c r="F380" s="23" t="n">
        <v>10</v>
      </c>
      <c r="G380" s="11" t="n">
        <f aca="false">SUMIFS('Issue Log'!$G$2:$G$501,'Issue Log'!$B$2:$B$501,$A380,'Issue Log'!$J$2:$J$501,"Out")</f>
        <v>0</v>
      </c>
      <c r="H380" s="11" t="n">
        <f aca="false">IF($F380="","",$F380-$G380)</f>
        <v>10</v>
      </c>
      <c r="I380" s="23" t="n">
        <v>10</v>
      </c>
      <c r="J380" s="11" t="str">
        <f aca="false">IF($F380="","Not counted",IF($H380&lt;=0,"Out of stock",IF($H380&lt;$I380,"Low stock","In stock")))</f>
        <v>In stock</v>
      </c>
      <c r="K380" s="5" t="s">
        <v>175</v>
      </c>
      <c r="M380" s="26" t="n">
        <f aca="false">IF(Search!$C$4="",0,IF(ISNUMBER(SEARCH(Search!$C$4,$A380&amp;" "&amp;$B380&amp;" "&amp;$C380&amp;" "&amp;$E380)),1,0))</f>
        <v>0</v>
      </c>
      <c r="N380" s="0" t="str">
        <f aca="false">IF(M380=1,SUM($M$2:M380),"")</f>
        <v/>
      </c>
      <c r="O380" s="26" t="n">
        <f aca="false">IF(OR($J380="Out of stock",$J380="Low stock",$J380="Not counted"),1,0)</f>
        <v>0</v>
      </c>
      <c r="P380" s="0" t="str">
        <f aca="false">IF(O380=1,SUM($O$2:O380),"")</f>
        <v/>
      </c>
    </row>
    <row r="381" customFormat="false" ht="15" hidden="false" customHeight="false" outlineLevel="0" collapsed="false">
      <c r="A381" s="10" t="s">
        <v>922</v>
      </c>
      <c r="B381" s="10" t="s">
        <v>923</v>
      </c>
      <c r="C381" s="10" t="s">
        <v>37</v>
      </c>
      <c r="D381" s="10"/>
      <c r="E381" s="19" t="s">
        <v>163</v>
      </c>
      <c r="F381" s="23" t="n">
        <v>10</v>
      </c>
      <c r="G381" s="11" t="n">
        <f aca="false">SUMIFS('Issue Log'!$G$2:$G$501,'Issue Log'!$B$2:$B$501,$A381,'Issue Log'!$J$2:$J$501,"Out")</f>
        <v>0</v>
      </c>
      <c r="H381" s="11" t="n">
        <f aca="false">IF($F381="","",$F381-$G381)</f>
        <v>10</v>
      </c>
      <c r="I381" s="23" t="n">
        <v>10</v>
      </c>
      <c r="J381" s="11" t="str">
        <f aca="false">IF($F381="","Not counted",IF($H381&lt;=0,"Out of stock",IF($H381&lt;$I381,"Low stock","In stock")))</f>
        <v>In stock</v>
      </c>
      <c r="K381" s="5" t="s">
        <v>175</v>
      </c>
      <c r="M381" s="26" t="n">
        <f aca="false">IF(Search!$C$4="",0,IF(ISNUMBER(SEARCH(Search!$C$4,$A381&amp;" "&amp;$B381&amp;" "&amp;$C381&amp;" "&amp;$E381)),1,0))</f>
        <v>0</v>
      </c>
      <c r="N381" s="0" t="str">
        <f aca="false">IF(M381=1,SUM($M$2:M381),"")</f>
        <v/>
      </c>
      <c r="O381" s="26" t="n">
        <f aca="false">IF(OR($J381="Out of stock",$J381="Low stock",$J381="Not counted"),1,0)</f>
        <v>0</v>
      </c>
      <c r="P381" s="0" t="str">
        <f aca="false">IF(O381=1,SUM($O$2:O381),"")</f>
        <v/>
      </c>
    </row>
  </sheetData>
  <autoFilter ref="A1:K381"/>
  <conditionalFormatting sqref="A2:K381">
    <cfRule type="expression" priority="2" aboveAverage="0" equalAverage="0" bottom="0" percent="0" rank="0" text="" dxfId="1">
      <formula>$J2="In stock"</formula>
    </cfRule>
    <cfRule type="expression" priority="3" aboveAverage="0" equalAverage="0" bottom="0" percent="0" rank="0" text="" dxfId="0">
      <formula>$J2="Low stock"</formula>
    </cfRule>
    <cfRule type="expression" priority="4" aboveAverage="0" equalAverage="0" bottom="0" percent="0" rank="0" text="" dxfId="2">
      <formula>$J2="Out of stock"</formula>
    </cfRule>
    <cfRule type="expression" priority="5" aboveAverage="0" equalAverage="0" bottom="0" percent="0" rank="0" text="" dxfId="3">
      <formula>$J2="Not counted"</formula>
    </cfRule>
  </conditionalFormatting>
  <dataValidations count="1">
    <dataValidation allowBlank="true" errorStyle="stop" operator="between" showDropDown="false" showErrorMessage="false" showInputMessage="false" sqref="D2:D381" type="list">
      <formula1>"Yes,"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8"/>
  </cols>
  <sheetData>
    <row r="2" customFormat="false" ht="17.35" hidden="false" customHeight="false" outlineLevel="0" collapsed="false">
      <c r="B2" s="27" t="s">
        <v>924</v>
      </c>
    </row>
    <row r="4" customFormat="false" ht="15" hidden="false" customHeight="false" outlineLevel="0" collapsed="false">
      <c r="B4" s="9"/>
    </row>
    <row r="5" customFormat="false" ht="15" hidden="false" customHeight="false" outlineLevel="0" collapsed="false">
      <c r="B5" s="9" t="s">
        <v>925</v>
      </c>
    </row>
    <row r="6" customFormat="false" ht="15" hidden="false" customHeight="false" outlineLevel="0" collapsed="false">
      <c r="B6" s="9" t="s">
        <v>926</v>
      </c>
    </row>
    <row r="7" customFormat="false" ht="15" hidden="false" customHeight="false" outlineLevel="0" collapsed="false">
      <c r="B7" s="9"/>
    </row>
    <row r="8" customFormat="false" ht="15" hidden="false" customHeight="false" outlineLevel="0" collapsed="false">
      <c r="B8" s="8" t="s">
        <v>927</v>
      </c>
    </row>
    <row r="9" customFormat="false" ht="15" hidden="false" customHeight="false" outlineLevel="0" collapsed="false">
      <c r="B9" s="9" t="s">
        <v>928</v>
      </c>
    </row>
    <row r="10" customFormat="false" ht="15" hidden="false" customHeight="false" outlineLevel="0" collapsed="false">
      <c r="B10" s="9" t="s">
        <v>929</v>
      </c>
    </row>
    <row r="11" customFormat="false" ht="15" hidden="false" customHeight="false" outlineLevel="0" collapsed="false">
      <c r="B11" s="9" t="s">
        <v>930</v>
      </c>
    </row>
    <row r="12" customFormat="false" ht="15" hidden="false" customHeight="false" outlineLevel="0" collapsed="false">
      <c r="B12" s="9" t="s">
        <v>931</v>
      </c>
    </row>
    <row r="13" customFormat="false" ht="15" hidden="false" customHeight="false" outlineLevel="0" collapsed="false">
      <c r="B13" s="9" t="s">
        <v>932</v>
      </c>
    </row>
    <row r="14" customFormat="false" ht="15" hidden="false" customHeight="false" outlineLevel="0" collapsed="false">
      <c r="B14" s="9"/>
    </row>
    <row r="15" customFormat="false" ht="15" hidden="false" customHeight="false" outlineLevel="0" collapsed="false">
      <c r="B15" s="8" t="s">
        <v>933</v>
      </c>
    </row>
    <row r="16" customFormat="false" ht="15" hidden="false" customHeight="false" outlineLevel="0" collapsed="false">
      <c r="B16" s="9" t="s">
        <v>934</v>
      </c>
    </row>
    <row r="17" customFormat="false" ht="15" hidden="false" customHeight="false" outlineLevel="0" collapsed="false">
      <c r="B17" s="9" t="s">
        <v>935</v>
      </c>
    </row>
    <row r="18" customFormat="false" ht="15" hidden="false" customHeight="false" outlineLevel="0" collapsed="false">
      <c r="B18" s="9"/>
    </row>
    <row r="19" customFormat="false" ht="15" hidden="false" customHeight="false" outlineLevel="0" collapsed="false">
      <c r="B19" s="8" t="s">
        <v>936</v>
      </c>
    </row>
    <row r="20" customFormat="false" ht="15" hidden="false" customHeight="false" outlineLevel="0" collapsed="false">
      <c r="B20" s="9" t="s">
        <v>937</v>
      </c>
    </row>
    <row r="21" customFormat="false" ht="15" hidden="false" customHeight="false" outlineLevel="0" collapsed="false">
      <c r="B21" s="9" t="s">
        <v>938</v>
      </c>
    </row>
    <row r="22" customFormat="false" ht="15" hidden="false" customHeight="false" outlineLevel="0" collapsed="false">
      <c r="B22" s="9" t="s">
        <v>939</v>
      </c>
    </row>
    <row r="23" customFormat="false" ht="15" hidden="false" customHeight="false" outlineLevel="0" collapsed="false">
      <c r="B23" s="9"/>
    </row>
    <row r="24" customFormat="false" ht="15" hidden="false" customHeight="false" outlineLevel="0" collapsed="false">
      <c r="B24" s="9" t="s">
        <v>940</v>
      </c>
    </row>
    <row r="25" customFormat="false" ht="15" hidden="false" customHeight="false" outlineLevel="0" collapsed="false">
      <c r="B25" s="9" t="s">
        <v>941</v>
      </c>
    </row>
    <row r="26" customFormat="false" ht="15" hidden="false" customHeight="false" outlineLevel="0" collapsed="false">
      <c r="B26" s="9"/>
    </row>
    <row r="27" customFormat="false" ht="15" hidden="false" customHeight="false" outlineLevel="0" collapsed="false">
      <c r="B27" s="9" t="s">
        <v>942</v>
      </c>
    </row>
    <row r="28" customFormat="false" ht="15" hidden="false" customHeight="false" outlineLevel="0" collapsed="false">
      <c r="B28" s="9" t="s">
        <v>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2026-09-09T12:44:44Z</dcterms:created>
  <dc:creator>openpyxl</dc:creator>
  <dc:description/>
  <dc:language>en-US</dc:language>
  <cp:lastModifiedBy/>
  <dcterms:modified xsi:type="dcterms:W3CDTF">2026-09-09T12:44:44Z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